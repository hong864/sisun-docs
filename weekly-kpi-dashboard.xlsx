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6.xml" ContentType="application/vnd.openxmlformats-officedocument.spreadsheetml.comments+xml"/>
  <Override PartName="/xl/comments4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간입력" sheetId="1" state="visible" r:id="rId3"/>
    <sheet name="KPI계산" sheetId="2" state="visible" r:id="rId4"/>
    <sheet name="대시보드" sheetId="3" state="visible" r:id="rId5"/>
    <sheet name="브랜드별거래액" sheetId="4" state="visible" r:id="rId6"/>
    <sheet name="운영입력" sheetId="5" state="visible" r:id="rId7"/>
    <sheet name="운영KPI" sheetId="6" state="visible" r:id="rId8"/>
    <sheet name="운영대시보드" sheetId="7" state="visible" r:id="rId9"/>
    <sheet name="평가체계" sheetId="8" state="visible" r:id="rId10"/>
    <sheet name="출처_기대효과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3" authorId="0">
      <text>
        <r>
          <rPr>
            <sz val="10"/>
            <rFont val="Arial"/>
            <family val="2"/>
          </rPr>
          <t xml:space="preserve">[GMV(</t>
        </r>
        <r>
          <rPr>
            <sz val="10"/>
            <rFont val="DejaVu Sans"/>
            <family val="2"/>
          </rPr>
          <t xml:space="preserve">거래액</t>
        </r>
        <r>
          <rPr>
            <sz val="10"/>
            <rFont val="Arial"/>
            <family val="2"/>
          </rPr>
          <t xml:space="preserve">)]
GMV = Gross Merchandise Value (</t>
        </r>
        <r>
          <rPr>
            <sz val="10"/>
            <rFont val="DejaVu Sans"/>
            <family val="2"/>
          </rPr>
          <t xml:space="preserve">총거래액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해당 주차 총 거래액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상품 판매 합계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환불 제외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DejaVu Sans"/>
            <family val="2"/>
          </rPr>
          <t xml:space="preserve">거래액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객단가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정가비중 계산 기준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방문자수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사이트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DejaVu Sans"/>
            <family val="2"/>
          </rPr>
          <t xml:space="preserve">앱 순 방문자 수</t>
        </r>
        <r>
          <rPr>
            <sz val="10"/>
            <rFont val="Arial"/>
            <family val="2"/>
          </rPr>
          <t xml:space="preserve">(UV). </t>
        </r>
        <r>
          <rPr>
            <sz val="10"/>
            <rFont val="DejaVu Sans"/>
            <family val="2"/>
          </rPr>
          <t xml:space="preserve">전환율</t>
        </r>
        <r>
          <rPr>
            <sz val="10"/>
            <rFont val="Arial"/>
            <family val="2"/>
          </rPr>
          <t xml:space="preserve">(CVR)</t>
        </r>
        <r>
          <rPr>
            <sz val="10"/>
            <rFont val="DejaVu Sans"/>
            <family val="2"/>
          </rPr>
          <t xml:space="preserve">의 분모</t>
        </r>
        <r>
          <rPr>
            <sz val="10"/>
            <rFont val="Arial"/>
            <family val="2"/>
          </rPr>
          <t xml:space="preserve">.</t>
        </r>
      </text>
    </comment>
    <comment ref="A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주문건수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결제 완료된 주문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전환율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객단가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재구매율 계산에 사용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재구매 주문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과거 구매 이력이 있는 고객의 주문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재구매율의 분자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Arial"/>
            <family val="2"/>
          </rPr>
          <t xml:space="preserve">[2</t>
        </r>
        <r>
          <rPr>
            <sz val="10"/>
            <rFont val="DejaVu Sans"/>
            <family val="2"/>
          </rPr>
          <t xml:space="preserve">개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DejaVu Sans"/>
            <family val="2"/>
          </rPr>
          <t xml:space="preserve">브랜드 구매고객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DejaVu Sans"/>
            <family val="2"/>
          </rPr>
          <t xml:space="preserve">개 이상 브랜드를 구매한 고객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교차구매율의 분자</t>
        </r>
        <r>
          <rPr>
            <sz val="10"/>
            <rFont val="Arial"/>
            <family val="2"/>
          </rPr>
          <t xml:space="preserve">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구매고객수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DejaVu Sans"/>
            <family val="2"/>
          </rPr>
          <t xml:space="preserve">회 이상 구매한 순 고객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교차구매율의 분모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신규회원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신규 가입 회원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신규 획득 규모</t>
        </r>
        <r>
          <rPr>
            <sz val="10"/>
            <rFont val="Arial"/>
            <family val="2"/>
          </rPr>
          <t xml:space="preserve">.</t>
        </r>
      </text>
    </comment>
    <comment ref="A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활성멤버십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활성 상태 멤버십 회원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보조 모니터링 지표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현재 </t>
        </r>
        <r>
          <rPr>
            <sz val="10"/>
            <rFont val="Arial"/>
            <family val="2"/>
          </rPr>
          <t xml:space="preserve">KPI </t>
        </r>
        <r>
          <rPr>
            <sz val="10"/>
            <rFont val="DejaVu Sans"/>
            <family val="2"/>
          </rPr>
          <t xml:space="preserve">미산입</t>
        </r>
        <r>
          <rPr>
            <sz val="10"/>
            <rFont val="Arial"/>
            <family val="2"/>
          </rPr>
          <t xml:space="preserve">).</t>
        </r>
      </text>
    </comment>
    <comment ref="A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정가 거래액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할인 없이 정가로 판매된 거래액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정가 판매 비중의 분자</t>
        </r>
        <r>
          <rPr>
            <sz val="10"/>
            <rFont val="Arial"/>
            <family val="2"/>
          </rPr>
          <t xml:space="preserve">.</t>
        </r>
      </text>
    </comment>
    <comment ref="A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첫구매 고객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생애 첫 구매를 한 고객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첫구매→재구매 전환율의 분모</t>
        </r>
        <r>
          <rPr>
            <sz val="10"/>
            <rFont val="Arial"/>
            <family val="2"/>
          </rPr>
          <t xml:space="preserve">.</t>
        </r>
      </text>
    </comment>
    <comment ref="A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첫구매후 재구매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첫 구매 고객 중 추가 구매가 발생한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첫구매→재구매 전환율의 분자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거래액</t>
        </r>
        <r>
          <rPr>
            <sz val="10"/>
            <rFont val="Arial"/>
            <family val="2"/>
          </rPr>
          <t xml:space="preserve">(GMV)]
GMV = Gross Merchandise Value (</t>
        </r>
        <r>
          <rPr>
            <sz val="10"/>
            <rFont val="DejaVu Sans"/>
            <family val="2"/>
          </rPr>
          <t xml:space="preserve">총거래액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</t>
        </r>
        <r>
          <rPr>
            <sz val="10"/>
            <rFont val="Arial"/>
            <family val="2"/>
          </rPr>
          <t xml:space="preserve">Gross Merchandise Value, </t>
        </r>
        <r>
          <rPr>
            <sz val="10"/>
            <rFont val="DejaVu Sans"/>
            <family val="2"/>
          </rPr>
          <t xml:space="preserve">일정 기간 발생한 총 상품 판매액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매출 규모를 보여주는 최상위 지표로 모든 성과의 기준이 된다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환불 제외</t>
        </r>
        <r>
          <rPr>
            <sz val="10"/>
            <rFont val="Arial"/>
            <family val="2"/>
          </rPr>
          <t xml:space="preserve">).</t>
        </r>
      </text>
    </comment>
    <comment ref="A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구매 전환율</t>
        </r>
        <r>
          <rPr>
            <sz val="10"/>
            <rFont val="Arial"/>
            <family val="2"/>
          </rPr>
          <t xml:space="preserve">(CVR)]
CVR = Conversion Rate (</t>
        </r>
        <r>
          <rPr>
            <sz val="10"/>
            <rFont val="DejaVu Sans"/>
            <family val="2"/>
          </rPr>
          <t xml:space="preserve">구매 전환율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주문건수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방문자수
방문한 사람 중 실제 구매까지 이어진 비율</t>
        </r>
        <r>
          <rPr>
            <sz val="10"/>
            <rFont val="Arial"/>
            <family val="2"/>
          </rPr>
          <t xml:space="preserve">. '</t>
        </r>
        <r>
          <rPr>
            <sz val="10"/>
            <rFont val="DejaVu Sans"/>
            <family val="2"/>
          </rPr>
          <t xml:space="preserve">온 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DejaVu Sans"/>
            <family val="2"/>
          </rPr>
          <t xml:space="preserve">명 중 몇 명이 샀나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DejaVu Sans"/>
            <family val="2"/>
          </rPr>
          <t xml:space="preserve">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유입의 질과 구매 동선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상품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가격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결제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의 효율을 함께 진단한다</t>
        </r>
        <r>
          <rPr>
            <sz val="10"/>
            <rFont val="Arial"/>
            <family val="2"/>
          </rPr>
          <t xml:space="preserve">.</t>
        </r>
      </text>
    </comment>
    <comment ref="A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객단가</t>
        </r>
        <r>
          <rPr>
            <sz val="10"/>
            <rFont val="Arial"/>
            <family val="2"/>
          </rPr>
          <t xml:space="preserve">(AOV)]
AOV = Average Order Value (</t>
        </r>
        <r>
          <rPr>
            <sz val="10"/>
            <rFont val="DejaVu Sans"/>
            <family val="2"/>
          </rPr>
          <t xml:space="preserve">객단가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GMV ÷ </t>
        </r>
        <r>
          <rPr>
            <sz val="10"/>
            <rFont val="DejaVu Sans"/>
            <family val="2"/>
          </rPr>
          <t xml:space="preserve">주문건수
</t>
        </r>
        <r>
          <rPr>
            <sz val="10"/>
            <rFont val="Arial"/>
            <family val="2"/>
          </rPr>
          <t xml:space="preserve">Average Order Value, </t>
        </r>
        <r>
          <rPr>
            <sz val="10"/>
            <rFont val="DejaVu Sans"/>
            <family val="2"/>
          </rPr>
          <t xml:space="preserve">주문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DejaVu Sans"/>
            <family val="2"/>
          </rPr>
          <t xml:space="preserve">건당 평균 결제 금액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같은 주문 수라도 높으면 매출이 커지므로 고가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세트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교차판매가 잘 되는지를 나타낸다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재구매율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재구매 주문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전체 주문
전체 주문 중 기존 고객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이미 산 적 있는 사람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이 다시 한 주문의 비중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신규 유치보다 저비용인 충성 고객 기반이 얼마나 단단한지 보는 리텐션 지표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브랜드 교차구매율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2</t>
        </r>
        <r>
          <rPr>
            <sz val="10"/>
            <rFont val="DejaVu Sans"/>
            <family val="2"/>
          </rPr>
          <t xml:space="preserve">개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DejaVu Sans"/>
            <family val="2"/>
          </rPr>
          <t xml:space="preserve">브랜드 구매고객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구매고객수
구매 고객 중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DejaVu Sans"/>
            <family val="2"/>
          </rPr>
          <t xml:space="preserve">개 이상 브랜드를 함께 산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미샤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잇미샤 등을 한 몰에서 묶어 파는 통합몰에서 브랜드 간 상호 송객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교차판매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DejaVu Sans"/>
            <family val="2"/>
          </rPr>
          <t xml:space="preserve">시너지가 작동하는지를 본다</t>
        </r>
        <r>
          <rPr>
            <sz val="10"/>
            <rFont val="Arial"/>
            <family val="2"/>
          </rPr>
          <t xml:space="preserve">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신규 회원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해당 기간 새로 가입한 회원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미래 매출의 씨앗인 신규 고객 획득 규모를 나타낸다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정가 판매 비중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정가 거래액 </t>
        </r>
        <r>
          <rPr>
            <sz val="10"/>
            <rFont val="Arial"/>
            <family val="2"/>
          </rPr>
          <t xml:space="preserve">÷ GMV
</t>
        </r>
        <r>
          <rPr>
            <sz val="10"/>
            <rFont val="DejaVu Sans"/>
            <family val="2"/>
          </rPr>
          <t xml:space="preserve">전체 거래액 중 할인 없이 정가로 팔린 비중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높을수록 마진과 브랜드 가치가 잘 지켜진다는 뜻으로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할인에 기대지 않는 매출 체력을 보여주는 수익성 지표</t>
        </r>
        <r>
          <rPr>
            <sz val="10"/>
            <rFont val="Arial"/>
            <family val="2"/>
          </rPr>
          <t xml:space="preserve">.</t>
        </r>
      </text>
    </comment>
    <comment ref="A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첫구매→재구매 전환율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첫구매후 재구매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첫구매 고객
처음 산 고객이 다시 구매로 이어진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한 번 산 사람을 단골로 정착시키는 힘으로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신규 획득이 실제 충성 고객으로 전환되는지를 측정한다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거래액</t>
        </r>
        <r>
          <rPr>
            <sz val="10"/>
            <rFont val="Arial"/>
            <family val="2"/>
          </rPr>
          <t xml:space="preserve">(GMV)]
GMV = Gross Merchandise Value (</t>
        </r>
        <r>
          <rPr>
            <sz val="10"/>
            <rFont val="DejaVu Sans"/>
            <family val="2"/>
          </rPr>
          <t xml:space="preserve">총거래액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</t>
        </r>
        <r>
          <rPr>
            <sz val="10"/>
            <rFont val="Arial"/>
            <family val="2"/>
          </rPr>
          <t xml:space="preserve">Gross Merchandise Value, </t>
        </r>
        <r>
          <rPr>
            <sz val="10"/>
            <rFont val="DejaVu Sans"/>
            <family val="2"/>
          </rPr>
          <t xml:space="preserve">일정 기간 발생한 총 상품 판매액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매출 규모를 보여주는 최상위 지표로 모든 성과의 기준이 된다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환불 제외</t>
        </r>
        <r>
          <rPr>
            <sz val="10"/>
            <rFont val="Arial"/>
            <family val="2"/>
          </rPr>
          <t xml:space="preserve">).</t>
        </r>
      </text>
    </comment>
    <comment ref="A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구매 전환율</t>
        </r>
        <r>
          <rPr>
            <sz val="10"/>
            <rFont val="Arial"/>
            <family val="2"/>
          </rPr>
          <t xml:space="preserve">(CVR)]
CVR = Conversion Rate (</t>
        </r>
        <r>
          <rPr>
            <sz val="10"/>
            <rFont val="DejaVu Sans"/>
            <family val="2"/>
          </rPr>
          <t xml:space="preserve">구매 전환율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주문건수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방문자수
방문한 사람 중 실제 구매까지 이어진 비율</t>
        </r>
        <r>
          <rPr>
            <sz val="10"/>
            <rFont val="Arial"/>
            <family val="2"/>
          </rPr>
          <t xml:space="preserve">. '</t>
        </r>
        <r>
          <rPr>
            <sz val="10"/>
            <rFont val="DejaVu Sans"/>
            <family val="2"/>
          </rPr>
          <t xml:space="preserve">온 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DejaVu Sans"/>
            <family val="2"/>
          </rPr>
          <t xml:space="preserve">명 중 몇 명이 샀나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DejaVu Sans"/>
            <family val="2"/>
          </rPr>
          <t xml:space="preserve">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유입의 질과 구매 동선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상품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가격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결제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의 효율을 함께 진단한다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객단가</t>
        </r>
        <r>
          <rPr>
            <sz val="10"/>
            <rFont val="Arial"/>
            <family val="2"/>
          </rPr>
          <t xml:space="preserve">(AOV)]
AOV = Average Order Value (</t>
        </r>
        <r>
          <rPr>
            <sz val="10"/>
            <rFont val="DejaVu Sans"/>
            <family val="2"/>
          </rPr>
          <t xml:space="preserve">객단가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GMV ÷ </t>
        </r>
        <r>
          <rPr>
            <sz val="10"/>
            <rFont val="DejaVu Sans"/>
            <family val="2"/>
          </rPr>
          <t xml:space="preserve">주문건수
</t>
        </r>
        <r>
          <rPr>
            <sz val="10"/>
            <rFont val="Arial"/>
            <family val="2"/>
          </rPr>
          <t xml:space="preserve">Average Order Value, </t>
        </r>
        <r>
          <rPr>
            <sz val="10"/>
            <rFont val="DejaVu Sans"/>
            <family val="2"/>
          </rPr>
          <t xml:space="preserve">주문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DejaVu Sans"/>
            <family val="2"/>
          </rPr>
          <t xml:space="preserve">건당 평균 결제 금액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같은 주문 수라도 높으면 매출이 커지므로 고가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세트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교차판매가 잘 되는지를 나타낸다</t>
        </r>
        <r>
          <rPr>
            <sz val="10"/>
            <rFont val="Arial"/>
            <family val="2"/>
          </rPr>
          <t xml:space="preserve">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재구매율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재구매 주문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전체 주문
전체 주문 중 기존 고객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이미 산 적 있는 사람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이 다시 한 주문의 비중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신규 유치보다 저비용인 충성 고객 기반이 얼마나 단단한지 보는 리텐션 지표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브랜드 교차구매율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2</t>
        </r>
        <r>
          <rPr>
            <sz val="10"/>
            <rFont val="DejaVu Sans"/>
            <family val="2"/>
          </rPr>
          <t xml:space="preserve">개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DejaVu Sans"/>
            <family val="2"/>
          </rPr>
          <t xml:space="preserve">브랜드 구매고객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구매고객수
구매 고객 중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DejaVu Sans"/>
            <family val="2"/>
          </rPr>
          <t xml:space="preserve">개 이상 브랜드를 함께 산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미샤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잇미샤 등을 한 몰에서 묶어 파는 통합몰에서 브랜드 간 상호 송객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교차판매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DejaVu Sans"/>
            <family val="2"/>
          </rPr>
          <t xml:space="preserve">시너지가 작동하는지를 본다</t>
        </r>
        <r>
          <rPr>
            <sz val="10"/>
            <rFont val="Arial"/>
            <family val="2"/>
          </rPr>
          <t xml:space="preserve">.</t>
        </r>
      </text>
    </comment>
    <comment ref="A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신규 회원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해당 기간 새로 가입한 회원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미래 매출의 씨앗인 신규 고객 획득 규모를 나타낸다</t>
        </r>
        <r>
          <rPr>
            <sz val="10"/>
            <rFont val="Arial"/>
            <family val="2"/>
          </rPr>
          <t xml:space="preserve">.</t>
        </r>
      </text>
    </comment>
    <comment ref="A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정가 판매 비중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정가 거래액 </t>
        </r>
        <r>
          <rPr>
            <sz val="10"/>
            <rFont val="Arial"/>
            <family val="2"/>
          </rPr>
          <t xml:space="preserve">÷ GMV
</t>
        </r>
        <r>
          <rPr>
            <sz val="10"/>
            <rFont val="DejaVu Sans"/>
            <family val="2"/>
          </rPr>
          <t xml:space="preserve">전체 거래액 중 할인 없이 정가로 팔린 비중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높을수록 마진과 브랜드 가치가 잘 지켜진다는 뜻으로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할인에 기대지 않는 매출 체력을 보여주는 수익성 지표</t>
        </r>
        <r>
          <rPr>
            <sz val="10"/>
            <rFont val="Arial"/>
            <family val="2"/>
          </rPr>
          <t xml:space="preserve">.</t>
        </r>
      </text>
    </comment>
    <comment ref="A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첫구매→재구매 전환율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첫구매후 재구매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첫구매 고객
처음 산 고객이 다시 구매로 이어진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한 번 산 사람을 단골로 정착시키는 힘으로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신규 획득이 실제 충성 고객으로 전환되는지를 측정한다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3" authorId="0">
      <text>
        <r>
          <rPr>
            <sz val="10"/>
            <rFont val="Arial"/>
            <family val="2"/>
          </rPr>
          <t xml:space="preserve">[MICHAA]
</t>
        </r>
        <r>
          <rPr>
            <sz val="10"/>
            <rFont val="DejaVu Sans"/>
            <family val="2"/>
          </rPr>
          <t xml:space="preserve">미샤 브랜드의 해당 주차 거래액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만원</t>
        </r>
        <r>
          <rPr>
            <sz val="10"/>
            <rFont val="Arial"/>
            <family val="2"/>
          </rPr>
          <t xml:space="preserve">).</t>
        </r>
      </text>
    </comment>
    <comment ref="A4" authorId="0">
      <text>
        <r>
          <rPr>
            <sz val="10"/>
            <rFont val="Arial"/>
            <family val="2"/>
          </rPr>
          <t xml:space="preserve">[IT MICHAA]
</t>
        </r>
        <r>
          <rPr>
            <sz val="10"/>
            <rFont val="DejaVu Sans"/>
            <family val="2"/>
          </rPr>
          <t xml:space="preserve">잇미샤 브랜드의 해당 주차 거래액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만원</t>
        </r>
        <r>
          <rPr>
            <sz val="10"/>
            <rFont val="Arial"/>
            <family val="2"/>
          </rPr>
          <t xml:space="preserve">).</t>
        </r>
      </text>
    </comment>
    <comment ref="A5" authorId="0">
      <text>
        <r>
          <rPr>
            <sz val="10"/>
            <rFont val="Arial"/>
            <family val="2"/>
          </rPr>
          <t xml:space="preserve">[S SOLEZIA]
</t>
        </r>
        <r>
          <rPr>
            <sz val="10"/>
            <rFont val="DejaVu Sans"/>
            <family val="2"/>
          </rPr>
          <t xml:space="preserve">에스 솔레지아 브랜드의 해당 주차 거래액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만원</t>
        </r>
        <r>
          <rPr>
            <sz val="10"/>
            <rFont val="Arial"/>
            <family val="2"/>
          </rPr>
          <t xml:space="preserve">).</t>
        </r>
      </text>
    </comment>
    <comment ref="A6" authorId="0">
      <text>
        <r>
          <rPr>
            <sz val="10"/>
            <rFont val="Arial"/>
            <family val="2"/>
          </rPr>
          <t xml:space="preserve">[LEWITT]
</t>
        </r>
        <r>
          <rPr>
            <sz val="10"/>
            <rFont val="DejaVu Sans"/>
            <family val="2"/>
          </rPr>
          <t xml:space="preserve">르윗 브랜드의 해당 주차 거래액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만원</t>
        </r>
        <r>
          <rPr>
            <sz val="10"/>
            <rFont val="Arial"/>
            <family val="2"/>
          </rPr>
          <t xml:space="preserve">).</t>
        </r>
      </text>
    </comment>
    <comment ref="A7" authorId="0">
      <text>
        <r>
          <rPr>
            <sz val="10"/>
            <rFont val="Arial"/>
            <family val="2"/>
          </rPr>
          <t xml:space="preserve">[E.B.M]
</t>
        </r>
        <r>
          <rPr>
            <sz val="10"/>
            <rFont val="DejaVu Sans"/>
            <family val="2"/>
          </rPr>
          <t xml:space="preserve">이비엠 브랜드의 해당 주차 거래액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만원</t>
        </r>
        <r>
          <rPr>
            <sz val="10"/>
            <rFont val="Arial"/>
            <family val="2"/>
          </rPr>
          <t xml:space="preserve">).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합계</t>
        </r>
        <r>
          <rPr>
            <sz val="10"/>
            <rFont val="Arial"/>
            <family val="2"/>
          </rPr>
          <t xml:space="preserve">]
5</t>
        </r>
        <r>
          <rPr>
            <sz val="10"/>
            <rFont val="DejaVu Sans"/>
            <family val="2"/>
          </rPr>
          <t xml:space="preserve">개 브랜드 거래액 합계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자동 수식</t>
        </r>
        <r>
          <rPr>
            <sz val="10"/>
            <rFont val="Arial"/>
            <family val="2"/>
          </rPr>
          <t xml:space="preserve">). GMV</t>
        </r>
        <r>
          <rPr>
            <sz val="10"/>
            <rFont val="DejaVu Sans"/>
            <family val="2"/>
          </rPr>
          <t xml:space="preserve">와 대조 검증용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운영요청 접수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기획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운영팀에 접수된 작업 요청 건수</t>
        </r>
        <r>
          <rPr>
            <sz val="10"/>
            <rFont val="Arial"/>
            <family val="2"/>
          </rPr>
          <t xml:space="preserve">. SLA·</t>
        </r>
        <r>
          <rPr>
            <sz val="10"/>
            <rFont val="DejaVu Sans"/>
            <family val="2"/>
          </rPr>
          <t xml:space="preserve">리드타임의 분모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Arial"/>
            <family val="2"/>
          </rPr>
          <t xml:space="preserve">[SLA</t>
        </r>
        <r>
          <rPr>
            <sz val="10"/>
            <rFont val="DejaVu Sans"/>
            <family val="2"/>
          </rPr>
          <t xml:space="preserve">내 처리</t>
        </r>
        <r>
          <rPr>
            <sz val="10"/>
            <rFont val="Arial"/>
            <family val="2"/>
          </rPr>
          <t xml:space="preserve">]
SLA = Service Level Agreement (</t>
        </r>
        <r>
          <rPr>
            <sz val="10"/>
            <rFont val="DejaVu Sans"/>
            <family val="2"/>
          </rPr>
          <t xml:space="preserve">서비스 수준 협약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약속 기한</t>
        </r>
        <r>
          <rPr>
            <sz val="10"/>
            <rFont val="Arial"/>
            <family val="2"/>
          </rPr>
          <t xml:space="preserve">(SLA) </t>
        </r>
        <r>
          <rPr>
            <sz val="10"/>
            <rFont val="DejaVu Sans"/>
            <family val="2"/>
          </rPr>
          <t xml:space="preserve">내 완료한 요청 건수</t>
        </r>
        <r>
          <rPr>
            <sz val="10"/>
            <rFont val="Arial"/>
            <family val="2"/>
          </rPr>
          <t xml:space="preserve">. SLA </t>
        </r>
        <r>
          <rPr>
            <sz val="10"/>
            <rFont val="DejaVu Sans"/>
            <family val="2"/>
          </rPr>
          <t xml:space="preserve">준수율의 분자</t>
        </r>
        <r>
          <rPr>
            <sz val="10"/>
            <rFont val="Arial"/>
            <family val="2"/>
          </rPr>
          <t xml:space="preserve">.</t>
        </r>
      </text>
    </comment>
    <comment ref="A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리드타임 합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모든 처리 건의 접수</t>
        </r>
        <r>
          <rPr>
            <sz val="10"/>
            <rFont val="Arial"/>
            <family val="2"/>
          </rPr>
          <t xml:space="preserve">~</t>
        </r>
        <r>
          <rPr>
            <sz val="10"/>
            <rFont val="DejaVu Sans"/>
            <family val="2"/>
          </rPr>
          <t xml:space="preserve">완료 소요일 총합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평균 리드타임 계산용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계획 릴리스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배포 예정이던 릴리스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정시율의 분모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정시 릴리스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계획일에 맞춰 배포된 릴리스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정시율의 분자</t>
        </r>
        <r>
          <rPr>
            <sz val="10"/>
            <rFont val="Arial"/>
            <family val="2"/>
          </rPr>
          <t xml:space="preserve">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기획서 제출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제출된 기획서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재작업률의 분모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기획서 재작업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반려되어 수정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재작업된 기획서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재작업률의 분자</t>
        </r>
        <r>
          <rPr>
            <sz val="10"/>
            <rFont val="Arial"/>
            <family val="2"/>
          </rPr>
          <t xml:space="preserve">.</t>
        </r>
      </text>
    </comment>
    <comment ref="A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장애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서비스 중단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오작동 등 장애 발생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안정성 지표</t>
        </r>
        <r>
          <rPr>
            <sz val="10"/>
            <rFont val="Arial"/>
            <family val="2"/>
          </rPr>
          <t xml:space="preserve">.</t>
        </r>
      </text>
    </comment>
    <comment ref="A11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오류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장애 미만의 오류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버그 발생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품질 지표</t>
        </r>
        <r>
          <rPr>
            <sz val="10"/>
            <rFont val="Arial"/>
            <family val="2"/>
          </rPr>
          <t xml:space="preserve">.</t>
        </r>
      </text>
    </comment>
    <comment ref="A12" authorId="0">
      <text>
        <r>
          <rPr>
            <sz val="10"/>
            <rFont val="Arial"/>
            <family val="2"/>
          </rPr>
          <t xml:space="preserve">[CS </t>
        </r>
        <r>
          <rPr>
            <sz val="10"/>
            <rFont val="DejaVu Sans"/>
            <family val="2"/>
          </rPr>
          <t xml:space="preserve">문의</t>
        </r>
        <r>
          <rPr>
            <sz val="10"/>
            <rFont val="Arial"/>
            <family val="2"/>
          </rPr>
          <t xml:space="preserve">]
CS = Customer Service (</t>
        </r>
        <r>
          <rPr>
            <sz val="10"/>
            <rFont val="DejaVu Sans"/>
            <family val="2"/>
          </rPr>
          <t xml:space="preserve">고객 서비스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고객센터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고객센터에 접수된 문의 건수</t>
        </r>
        <r>
          <rPr>
            <sz val="10"/>
            <rFont val="Arial"/>
            <family val="2"/>
          </rPr>
          <t xml:space="preserve">. CS </t>
        </r>
        <r>
          <rPr>
            <sz val="10"/>
            <rFont val="DejaVu Sans"/>
            <family val="2"/>
          </rPr>
          <t xml:space="preserve">반영률의 분모</t>
        </r>
        <r>
          <rPr>
            <sz val="10"/>
            <rFont val="Arial"/>
            <family val="2"/>
          </rPr>
          <t xml:space="preserve">.</t>
        </r>
      </text>
    </comment>
    <comment ref="A13" authorId="0">
      <text>
        <r>
          <rPr>
            <sz val="10"/>
            <rFont val="Arial"/>
            <family val="2"/>
          </rPr>
          <t xml:space="preserve">[CS </t>
        </r>
        <r>
          <rPr>
            <sz val="10"/>
            <rFont val="DejaVu Sans"/>
            <family val="2"/>
          </rPr>
          <t xml:space="preserve">반영</t>
        </r>
        <r>
          <rPr>
            <sz val="10"/>
            <rFont val="Arial"/>
            <family val="2"/>
          </rPr>
          <t xml:space="preserve">]
CS = Customer Service (</t>
        </r>
        <r>
          <rPr>
            <sz val="10"/>
            <rFont val="DejaVu Sans"/>
            <family val="2"/>
          </rPr>
          <t xml:space="preserve">고객 서비스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고객센터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문의 중 개선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조치로 반영된 건수</t>
        </r>
        <r>
          <rPr>
            <sz val="10"/>
            <rFont val="Arial"/>
            <family val="2"/>
          </rPr>
          <t xml:space="preserve">. CS </t>
        </r>
        <r>
          <rPr>
            <sz val="10"/>
            <rFont val="DejaVu Sans"/>
            <family val="2"/>
          </rPr>
          <t xml:space="preserve">반영률의 분자</t>
        </r>
        <r>
          <rPr>
            <sz val="10"/>
            <rFont val="Arial"/>
            <family val="2"/>
          </rPr>
          <t xml:space="preserve">.</t>
        </r>
      </text>
    </comment>
    <comment ref="A14" authorId="0">
      <text>
        <r>
          <rPr>
            <sz val="10"/>
            <rFont val="Arial"/>
            <family val="2"/>
          </rPr>
          <t xml:space="preserve">[A/B </t>
        </r>
        <r>
          <rPr>
            <sz val="10"/>
            <rFont val="DejaVu Sans"/>
            <family val="2"/>
          </rPr>
          <t xml:space="preserve">진행</t>
        </r>
        <r>
          <rPr>
            <sz val="10"/>
            <rFont val="Arial"/>
            <family val="2"/>
          </rPr>
          <t xml:space="preserve">]
A/B = A/B Test (</t>
        </r>
        <r>
          <rPr>
            <sz val="10"/>
            <rFont val="DejaVu Sans"/>
            <family val="2"/>
          </rPr>
          <t xml:space="preserve">대조 실험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해당 주차 진행한 </t>
        </r>
        <r>
          <rPr>
            <sz val="10"/>
            <rFont val="Arial"/>
            <family val="2"/>
          </rPr>
          <t xml:space="preserve">A/B </t>
        </r>
        <r>
          <rPr>
            <sz val="10"/>
            <rFont val="DejaVu Sans"/>
            <family val="2"/>
          </rPr>
          <t xml:space="preserve">테스트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유의미 도출률의 분모</t>
        </r>
        <r>
          <rPr>
            <sz val="10"/>
            <rFont val="Arial"/>
            <family val="2"/>
          </rPr>
          <t xml:space="preserve">.</t>
        </r>
      </text>
    </comment>
    <comment ref="A15" authorId="0">
      <text>
        <r>
          <rPr>
            <sz val="10"/>
            <rFont val="Arial"/>
            <family val="2"/>
          </rPr>
          <t xml:space="preserve">[A/B </t>
        </r>
        <r>
          <rPr>
            <sz val="10"/>
            <rFont val="DejaVu Sans"/>
            <family val="2"/>
          </rPr>
          <t xml:space="preserve">유의미</t>
        </r>
        <r>
          <rPr>
            <sz val="10"/>
            <rFont val="Arial"/>
            <family val="2"/>
          </rPr>
          <t xml:space="preserve">]
A/B = A/B Test (</t>
        </r>
        <r>
          <rPr>
            <sz val="10"/>
            <rFont val="DejaVu Sans"/>
            <family val="2"/>
          </rPr>
          <t xml:space="preserve">대조 실험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통계적으로 유의한 결과를 얻은 테스트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유의미 도출률의 분자</t>
        </r>
        <r>
          <rPr>
            <sz val="10"/>
            <rFont val="Arial"/>
            <family val="2"/>
          </rPr>
          <t xml:space="preserve">.</t>
        </r>
      </text>
    </comment>
    <comment ref="A1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출시 기능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출시한 기능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출시후 달성률의 분모</t>
        </r>
        <r>
          <rPr>
            <sz val="10"/>
            <rFont val="Arial"/>
            <family val="2"/>
          </rPr>
          <t xml:space="preserve">.</t>
        </r>
      </text>
    </comment>
    <comment ref="A1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출시후 달성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출시 기능 중 목표 </t>
        </r>
        <r>
          <rPr>
            <sz val="10"/>
            <rFont val="Arial"/>
            <family val="2"/>
          </rPr>
          <t xml:space="preserve">KPI</t>
        </r>
        <r>
          <rPr>
            <sz val="10"/>
            <rFont val="DejaVu Sans"/>
            <family val="2"/>
          </rPr>
          <t xml:space="preserve">를 달성한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출시후 달성률의 분자</t>
        </r>
        <r>
          <rPr>
            <sz val="10"/>
            <rFont val="Arial"/>
            <family val="2"/>
          </rPr>
          <t xml:space="preserve">.</t>
        </r>
      </text>
    </comment>
    <comment ref="A1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수집 피드백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해당 주차 수집한 고객 피드백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피드백 반영률의 분모</t>
        </r>
        <r>
          <rPr>
            <sz val="10"/>
            <rFont val="Arial"/>
            <family val="2"/>
          </rPr>
          <t xml:space="preserve">.</t>
        </r>
      </text>
    </comment>
    <comment ref="A1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반영 피드백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제품에 반영된 피드백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피드백 반영률의 분자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3" authorId="0">
      <text>
        <r>
          <rPr>
            <sz val="10"/>
            <rFont val="Arial"/>
            <family val="2"/>
          </rPr>
          <t xml:space="preserve">[SLA </t>
        </r>
        <r>
          <rPr>
            <sz val="10"/>
            <rFont val="DejaVu Sans"/>
            <family val="2"/>
          </rPr>
          <t xml:space="preserve">준수율</t>
        </r>
        <r>
          <rPr>
            <sz val="10"/>
            <rFont val="Arial"/>
            <family val="2"/>
          </rPr>
          <t xml:space="preserve">]
SLA = Service Level Agreement (</t>
        </r>
        <r>
          <rPr>
            <sz val="10"/>
            <rFont val="DejaVu Sans"/>
            <family val="2"/>
          </rPr>
          <t xml:space="preserve">서비스 수준 협약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처리 기한 약속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SLA</t>
        </r>
        <r>
          <rPr>
            <sz val="10"/>
            <rFont val="DejaVu Sans"/>
            <family val="2"/>
          </rPr>
          <t xml:space="preserve">내 처리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운영요청 접수
</t>
        </r>
        <r>
          <rPr>
            <sz val="10"/>
            <rFont val="Arial"/>
            <family val="2"/>
          </rPr>
          <t xml:space="preserve">SLA</t>
        </r>
        <r>
          <rPr>
            <sz val="10"/>
            <rFont val="DejaVu Sans"/>
            <family val="2"/>
          </rPr>
          <t xml:space="preserve">는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DejaVu Sans"/>
            <family val="2"/>
          </rPr>
          <t xml:space="preserve">이 요청은 며칠 안에 처리한다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DejaVu Sans"/>
            <family val="2"/>
          </rPr>
          <t xml:space="preserve">는 내부 약속 기준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접수된 요청 중 그 기한 내 처리한 비율로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운영 대응의 신뢰도를 나타낸다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평균 리드타임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리드타임 합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접수 건수
요청 접수부터 완료까지 걸린 평균 일수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짧을수록 일이 빠르게 도는 것이라 낮을수록 양호</t>
        </r>
        <r>
          <rPr>
            <sz val="10"/>
            <rFont val="Arial"/>
            <family val="2"/>
          </rPr>
          <t xml:space="preserve">(↓)</t>
        </r>
        <r>
          <rPr>
            <sz val="10"/>
            <rFont val="DejaVu Sans"/>
            <family val="2"/>
          </rPr>
          <t xml:space="preserve">인 지표</t>
        </r>
        <r>
          <rPr>
            <sz val="10"/>
            <rFont val="Arial"/>
            <family val="2"/>
          </rPr>
          <t xml:space="preserve">.</t>
        </r>
      </text>
    </comment>
    <comment ref="A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릴리스 정시율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정시 릴리스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계획 릴리스
계획했던 배포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릴리스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DejaVu Sans"/>
            <family val="2"/>
          </rPr>
          <t xml:space="preserve">중 일정대로 나간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출시 일정 준수 능력을 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업계 프로덕트팀은 출시일 </t>
        </r>
        <r>
          <rPr>
            <sz val="10"/>
            <rFont val="Arial"/>
            <family val="2"/>
          </rPr>
          <t xml:space="preserve">100% </t>
        </r>
        <r>
          <rPr>
            <sz val="10"/>
            <rFont val="DejaVu Sans"/>
            <family val="2"/>
          </rPr>
          <t xml:space="preserve">준수를 표준으로 삼는다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기획서 재작업률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재작업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제출
제출한 기획서 중 반려되어 다시 손본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기획의 완성도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정합성을 보여주며 낮을수록 양호</t>
        </r>
        <r>
          <rPr>
            <sz val="10"/>
            <rFont val="Arial"/>
            <family val="2"/>
          </rPr>
          <t xml:space="preserve">(↓).</t>
        </r>
      </text>
    </comment>
    <comment ref="A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장애 건수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서비스가 멈추거나 오작동한 사고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안정성의 핵심으로 목표는 </t>
        </r>
        <r>
          <rPr>
            <sz val="10"/>
            <rFont val="Arial"/>
            <family val="2"/>
          </rPr>
          <t xml:space="preserve">0(↓).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오류 건수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장애까지는 아니지만 발생한 버그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오류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품질 수준을 보며 낮을수록 양호</t>
        </r>
        <r>
          <rPr>
            <sz val="10"/>
            <rFont val="Arial"/>
            <family val="2"/>
          </rPr>
          <t xml:space="preserve">(↓).</t>
        </r>
      </text>
    </comment>
    <comment ref="A9" authorId="0">
      <text>
        <r>
          <rPr>
            <sz val="10"/>
            <rFont val="Arial"/>
            <family val="2"/>
          </rPr>
          <t xml:space="preserve">[CS </t>
        </r>
        <r>
          <rPr>
            <sz val="10"/>
            <rFont val="DejaVu Sans"/>
            <family val="2"/>
          </rPr>
          <t xml:space="preserve">문의</t>
        </r>
        <r>
          <rPr>
            <sz val="10"/>
            <rFont val="Arial"/>
            <family val="2"/>
          </rPr>
          <t xml:space="preserve">]
CS = Customer Service (</t>
        </r>
        <r>
          <rPr>
            <sz val="10"/>
            <rFont val="DejaVu Sans"/>
            <family val="2"/>
          </rPr>
          <t xml:space="preserve">고객 서비스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고객센터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고객센터에 들어온 문의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많다는 건 그만큼 불편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문제가 많다는 신호라 낮을수록 양호</t>
        </r>
        <r>
          <rPr>
            <sz val="10"/>
            <rFont val="Arial"/>
            <family val="2"/>
          </rPr>
          <t xml:space="preserve">(↓)</t>
        </r>
        <r>
          <rPr>
            <sz val="10"/>
            <rFont val="DejaVu Sans"/>
            <family val="2"/>
          </rPr>
          <t xml:space="preserve">로 본다</t>
        </r>
        <r>
          <rPr>
            <sz val="10"/>
            <rFont val="Arial"/>
            <family val="2"/>
          </rPr>
          <t xml:space="preserve">.</t>
        </r>
      </text>
    </comment>
    <comment ref="A10" authorId="0">
      <text>
        <r>
          <rPr>
            <sz val="10"/>
            <rFont val="Arial"/>
            <family val="2"/>
          </rPr>
          <t xml:space="preserve">[CS </t>
        </r>
        <r>
          <rPr>
            <sz val="10"/>
            <rFont val="DejaVu Sans"/>
            <family val="2"/>
          </rPr>
          <t xml:space="preserve">반영률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CS </t>
        </r>
        <r>
          <rPr>
            <sz val="10"/>
            <rFont val="DejaVu Sans"/>
            <family val="2"/>
          </rPr>
          <t xml:space="preserve">반영 </t>
        </r>
        <r>
          <rPr>
            <sz val="10"/>
            <rFont val="Arial"/>
            <family val="2"/>
          </rPr>
          <t xml:space="preserve">÷ CS </t>
        </r>
        <r>
          <rPr>
            <sz val="10"/>
            <rFont val="DejaVu Sans"/>
            <family val="2"/>
          </rPr>
          <t xml:space="preserve">문의
들어온 </t>
        </r>
        <r>
          <rPr>
            <sz val="10"/>
            <rFont val="Arial"/>
            <family val="2"/>
          </rPr>
          <t xml:space="preserve">CS </t>
        </r>
        <r>
          <rPr>
            <sz val="10"/>
            <rFont val="DejaVu Sans"/>
            <family val="2"/>
          </rPr>
          <t xml:space="preserve">문의 중 실제 개선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조치로 반영된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고객의 목소리를 제품에 얼마나 반영하는지를 본다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11" authorId="0">
      <text>
        <r>
          <rPr>
            <sz val="10"/>
            <rFont val="Arial"/>
            <family val="2"/>
          </rPr>
          <t xml:space="preserve">[A/B </t>
        </r>
        <r>
          <rPr>
            <sz val="10"/>
            <rFont val="DejaVu Sans"/>
            <family val="2"/>
          </rPr>
          <t xml:space="preserve">유의미 도출률</t>
        </r>
        <r>
          <rPr>
            <sz val="10"/>
            <rFont val="Arial"/>
            <family val="2"/>
          </rPr>
          <t xml:space="preserve">]
A/B = A/B Test (</t>
        </r>
        <r>
          <rPr>
            <sz val="10"/>
            <rFont val="DejaVu Sans"/>
            <family val="2"/>
          </rPr>
          <t xml:space="preserve">두 안을 비교하는 대조 실험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유의미 결과 </t>
        </r>
        <r>
          <rPr>
            <sz val="10"/>
            <rFont val="Arial"/>
            <family val="2"/>
          </rPr>
          <t xml:space="preserve">÷ A/B </t>
        </r>
        <r>
          <rPr>
            <sz val="10"/>
            <rFont val="DejaVu Sans"/>
            <family val="2"/>
          </rPr>
          <t xml:space="preserve">진행
진행한 </t>
        </r>
        <r>
          <rPr>
            <sz val="10"/>
            <rFont val="Arial"/>
            <family val="2"/>
          </rPr>
          <t xml:space="preserve">A/B </t>
        </r>
        <r>
          <rPr>
            <sz val="10"/>
            <rFont val="DejaVu Sans"/>
            <family val="2"/>
          </rPr>
          <t xml:space="preserve">테스트 중 통계적으로 의미 있는 결론을 얻은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의사결정에 쓸 결과를 뽑아내는 실험 설계의 질을 측정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12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출시후 </t>
        </r>
        <r>
          <rPr>
            <sz val="10"/>
            <rFont val="Arial"/>
            <family val="2"/>
          </rPr>
          <t xml:space="preserve">KPI </t>
        </r>
        <r>
          <rPr>
            <sz val="10"/>
            <rFont val="DejaVu Sans"/>
            <family val="2"/>
          </rPr>
          <t xml:space="preserve">달성률</t>
        </r>
        <r>
          <rPr>
            <sz val="10"/>
            <rFont val="Arial"/>
            <family val="2"/>
          </rPr>
          <t xml:space="preserve">]
KPI = Key Performance Indicator (</t>
        </r>
        <r>
          <rPr>
            <sz val="10"/>
            <rFont val="DejaVu Sans"/>
            <family val="2"/>
          </rPr>
          <t xml:space="preserve">핵심성과지표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달성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출시 기능
새로 출시한 기능 중 사전에 세운 목표 </t>
        </r>
        <r>
          <rPr>
            <sz val="10"/>
            <rFont val="Arial"/>
            <family val="2"/>
          </rPr>
          <t xml:space="preserve">KPI</t>
        </r>
        <r>
          <rPr>
            <sz val="10"/>
            <rFont val="DejaVu Sans"/>
            <family val="2"/>
          </rPr>
          <t xml:space="preserve">를 실제로 달성한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기획 가설이 맞았는지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적중률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를 나타낸다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13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고객 피드백 반영률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반영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수집
수집한 고객 피드백 중 제품에 반영된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업계 프로덕트팀 표준</t>
        </r>
        <r>
          <rPr>
            <sz val="10"/>
            <rFont val="Arial"/>
            <family val="2"/>
          </rPr>
          <t xml:space="preserve">(3</t>
        </r>
        <r>
          <rPr>
            <sz val="10"/>
            <rFont val="DejaVu Sans"/>
            <family val="2"/>
          </rPr>
          <t xml:space="preserve">개월 내 </t>
        </r>
        <r>
          <rPr>
            <sz val="10"/>
            <rFont val="Arial"/>
            <family val="2"/>
          </rPr>
          <t xml:space="preserve">75% </t>
        </r>
        <r>
          <rPr>
            <sz val="10"/>
            <rFont val="DejaVu Sans"/>
            <family val="2"/>
          </rPr>
          <t xml:space="preserve">반영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을 주간 단위로 환산한 벤치마킹 지표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기획팀</author>
  </authors>
  <commentList>
    <comment ref="A5" authorId="0">
      <text>
        <r>
          <rPr>
            <sz val="10"/>
            <rFont val="Arial"/>
            <family val="2"/>
          </rPr>
          <t xml:space="preserve">[SLA </t>
        </r>
        <r>
          <rPr>
            <sz val="10"/>
            <rFont val="DejaVu Sans"/>
            <family val="2"/>
          </rPr>
          <t xml:space="preserve">준수율</t>
        </r>
        <r>
          <rPr>
            <sz val="10"/>
            <rFont val="Arial"/>
            <family val="2"/>
          </rPr>
          <t xml:space="preserve">]
SLA = Service Level Agreement (</t>
        </r>
        <r>
          <rPr>
            <sz val="10"/>
            <rFont val="DejaVu Sans"/>
            <family val="2"/>
          </rPr>
          <t xml:space="preserve">서비스 수준 협약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처리 기한 약속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SLA</t>
        </r>
        <r>
          <rPr>
            <sz val="10"/>
            <rFont val="DejaVu Sans"/>
            <family val="2"/>
          </rPr>
          <t xml:space="preserve">내 처리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운영요청 접수
</t>
        </r>
        <r>
          <rPr>
            <sz val="10"/>
            <rFont val="Arial"/>
            <family val="2"/>
          </rPr>
          <t xml:space="preserve">SLA</t>
        </r>
        <r>
          <rPr>
            <sz val="10"/>
            <rFont val="DejaVu Sans"/>
            <family val="2"/>
          </rPr>
          <t xml:space="preserve">는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DejaVu Sans"/>
            <family val="2"/>
          </rPr>
          <t xml:space="preserve">이 요청은 며칠 안에 처리한다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DejaVu Sans"/>
            <family val="2"/>
          </rPr>
          <t xml:space="preserve">는 내부 약속 기준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접수된 요청 중 그 기한 내 처리한 비율로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운영 대응의 신뢰도를 나타낸다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6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평균 리드타임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리드타임 합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접수 건수
요청 접수부터 완료까지 걸린 평균 일수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짧을수록 일이 빠르게 도는 것이라 낮을수록 양호</t>
        </r>
        <r>
          <rPr>
            <sz val="10"/>
            <rFont val="Arial"/>
            <family val="2"/>
          </rPr>
          <t xml:space="preserve">(↓)</t>
        </r>
        <r>
          <rPr>
            <sz val="10"/>
            <rFont val="DejaVu Sans"/>
            <family val="2"/>
          </rPr>
          <t xml:space="preserve">인 지표</t>
        </r>
        <r>
          <rPr>
            <sz val="10"/>
            <rFont val="Arial"/>
            <family val="2"/>
          </rPr>
          <t xml:space="preserve">.</t>
        </r>
      </text>
    </comment>
    <comment ref="A7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릴리스 정시율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정시 릴리스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계획 릴리스
계획했던 배포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릴리스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DejaVu Sans"/>
            <family val="2"/>
          </rPr>
          <t xml:space="preserve">중 일정대로 나간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출시 일정 준수 능력을 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업계 프로덕트팀은 출시일 </t>
        </r>
        <r>
          <rPr>
            <sz val="10"/>
            <rFont val="Arial"/>
            <family val="2"/>
          </rPr>
          <t xml:space="preserve">100% </t>
        </r>
        <r>
          <rPr>
            <sz val="10"/>
            <rFont val="DejaVu Sans"/>
            <family val="2"/>
          </rPr>
          <t xml:space="preserve">준수를 표준으로 삼는다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기획서 재작업률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재작업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제출
제출한 기획서 중 반려되어 다시 손본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기획의 완성도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정합성을 보여주며 낮을수록 양호</t>
        </r>
        <r>
          <rPr>
            <sz val="10"/>
            <rFont val="Arial"/>
            <family val="2"/>
          </rPr>
          <t xml:space="preserve">(↓).</t>
        </r>
      </text>
    </comment>
    <comment ref="A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장애 건수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서비스가 멈추거나 오작동한 사고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안정성의 핵심으로 목표는 </t>
        </r>
        <r>
          <rPr>
            <sz val="10"/>
            <rFont val="Arial"/>
            <family val="2"/>
          </rPr>
          <t xml:space="preserve">0(↓).</t>
        </r>
      </text>
    </comment>
    <comment ref="A1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오류 건수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장애까지는 아니지만 발생한 버그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오류 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품질 수준을 보며 낮을수록 양호</t>
        </r>
        <r>
          <rPr>
            <sz val="10"/>
            <rFont val="Arial"/>
            <family val="2"/>
          </rPr>
          <t xml:space="preserve">(↓).</t>
        </r>
      </text>
    </comment>
    <comment ref="A11" authorId="0">
      <text>
        <r>
          <rPr>
            <sz val="10"/>
            <rFont val="Arial"/>
            <family val="2"/>
          </rPr>
          <t xml:space="preserve">[CS </t>
        </r>
        <r>
          <rPr>
            <sz val="10"/>
            <rFont val="DejaVu Sans"/>
            <family val="2"/>
          </rPr>
          <t xml:space="preserve">문의</t>
        </r>
        <r>
          <rPr>
            <sz val="10"/>
            <rFont val="Arial"/>
            <family val="2"/>
          </rPr>
          <t xml:space="preserve">]
CS = Customer Service (</t>
        </r>
        <r>
          <rPr>
            <sz val="10"/>
            <rFont val="DejaVu Sans"/>
            <family val="2"/>
          </rPr>
          <t xml:space="preserve">고객 서비스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고객센터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직접 입력
고객센터에 들어온 문의 건수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많다는 건 그만큼 불편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문제가 많다는 신호라 낮을수록 양호</t>
        </r>
        <r>
          <rPr>
            <sz val="10"/>
            <rFont val="Arial"/>
            <family val="2"/>
          </rPr>
          <t xml:space="preserve">(↓)</t>
        </r>
        <r>
          <rPr>
            <sz val="10"/>
            <rFont val="DejaVu Sans"/>
            <family val="2"/>
          </rPr>
          <t xml:space="preserve">로 본다</t>
        </r>
        <r>
          <rPr>
            <sz val="10"/>
            <rFont val="Arial"/>
            <family val="2"/>
          </rPr>
          <t xml:space="preserve">.</t>
        </r>
      </text>
    </comment>
    <comment ref="A12" authorId="0">
      <text>
        <r>
          <rPr>
            <sz val="10"/>
            <rFont val="Arial"/>
            <family val="2"/>
          </rPr>
          <t xml:space="preserve">[CS </t>
        </r>
        <r>
          <rPr>
            <sz val="10"/>
            <rFont val="DejaVu Sans"/>
            <family val="2"/>
          </rPr>
          <t xml:space="preserve">반영률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CS </t>
        </r>
        <r>
          <rPr>
            <sz val="10"/>
            <rFont val="DejaVu Sans"/>
            <family val="2"/>
          </rPr>
          <t xml:space="preserve">반영 </t>
        </r>
        <r>
          <rPr>
            <sz val="10"/>
            <rFont val="Arial"/>
            <family val="2"/>
          </rPr>
          <t xml:space="preserve">÷ CS </t>
        </r>
        <r>
          <rPr>
            <sz val="10"/>
            <rFont val="DejaVu Sans"/>
            <family val="2"/>
          </rPr>
          <t xml:space="preserve">문의
들어온 </t>
        </r>
        <r>
          <rPr>
            <sz val="10"/>
            <rFont val="Arial"/>
            <family val="2"/>
          </rPr>
          <t xml:space="preserve">CS </t>
        </r>
        <r>
          <rPr>
            <sz val="10"/>
            <rFont val="DejaVu Sans"/>
            <family val="2"/>
          </rPr>
          <t xml:space="preserve">문의 중 실제 개선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DejaVu Sans"/>
            <family val="2"/>
          </rPr>
          <t xml:space="preserve">조치로 반영된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고객의 목소리를 제품에 얼마나 반영하는지를 본다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13" authorId="0">
      <text>
        <r>
          <rPr>
            <sz val="10"/>
            <rFont val="Arial"/>
            <family val="2"/>
          </rPr>
          <t xml:space="preserve">[A/B </t>
        </r>
        <r>
          <rPr>
            <sz val="10"/>
            <rFont val="DejaVu Sans"/>
            <family val="2"/>
          </rPr>
          <t xml:space="preserve">유의미 도출률</t>
        </r>
        <r>
          <rPr>
            <sz val="10"/>
            <rFont val="Arial"/>
            <family val="2"/>
          </rPr>
          <t xml:space="preserve">]
A/B = A/B Test (</t>
        </r>
        <r>
          <rPr>
            <sz val="10"/>
            <rFont val="DejaVu Sans"/>
            <family val="2"/>
          </rPr>
          <t xml:space="preserve">두 안을 비교하는 대조 실험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유의미 결과 </t>
        </r>
        <r>
          <rPr>
            <sz val="10"/>
            <rFont val="Arial"/>
            <family val="2"/>
          </rPr>
          <t xml:space="preserve">÷ A/B </t>
        </r>
        <r>
          <rPr>
            <sz val="10"/>
            <rFont val="DejaVu Sans"/>
            <family val="2"/>
          </rPr>
          <t xml:space="preserve">진행
진행한 </t>
        </r>
        <r>
          <rPr>
            <sz val="10"/>
            <rFont val="Arial"/>
            <family val="2"/>
          </rPr>
          <t xml:space="preserve">A/B </t>
        </r>
        <r>
          <rPr>
            <sz val="10"/>
            <rFont val="DejaVu Sans"/>
            <family val="2"/>
          </rPr>
          <t xml:space="preserve">테스트 중 통계적으로 의미 있는 결론을 얻은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의사결정에 쓸 결과를 뽑아내는 실험 설계의 질을 측정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14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출시후 </t>
        </r>
        <r>
          <rPr>
            <sz val="10"/>
            <rFont val="Arial"/>
            <family val="2"/>
          </rPr>
          <t xml:space="preserve">KPI </t>
        </r>
        <r>
          <rPr>
            <sz val="10"/>
            <rFont val="DejaVu Sans"/>
            <family val="2"/>
          </rPr>
          <t xml:space="preserve">달성률</t>
        </r>
        <r>
          <rPr>
            <sz val="10"/>
            <rFont val="Arial"/>
            <family val="2"/>
          </rPr>
          <t xml:space="preserve">]
KPI = Key Performance Indicator (</t>
        </r>
        <r>
          <rPr>
            <sz val="10"/>
            <rFont val="DejaVu Sans"/>
            <family val="2"/>
          </rPr>
          <t xml:space="preserve">핵심성과지표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달성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출시 기능
새로 출시한 기능 중 사전에 세운 목표 </t>
        </r>
        <r>
          <rPr>
            <sz val="10"/>
            <rFont val="Arial"/>
            <family val="2"/>
          </rPr>
          <t xml:space="preserve">KPI</t>
        </r>
        <r>
          <rPr>
            <sz val="10"/>
            <rFont val="DejaVu Sans"/>
            <family val="2"/>
          </rPr>
          <t xml:space="preserve">를 실제로 달성한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기획 가설이 맞았는지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DejaVu Sans"/>
            <family val="2"/>
          </rPr>
          <t xml:space="preserve">적중률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를 나타낸다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  <comment ref="A1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DejaVu Sans"/>
            <family val="2"/>
          </rPr>
          <t xml:space="preserve">고객 피드백 반영률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DejaVu Sans"/>
            <family val="2"/>
          </rPr>
          <t xml:space="preserve">산식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DejaVu Sans"/>
            <family val="2"/>
          </rPr>
          <t xml:space="preserve">반영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DejaVu Sans"/>
            <family val="2"/>
          </rPr>
          <t xml:space="preserve">수집
수집한 고객 피드백 중 제품에 반영된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DejaVu Sans"/>
            <family val="2"/>
          </rPr>
          <t xml:space="preserve">업계 프로덕트팀 표준</t>
        </r>
        <r>
          <rPr>
            <sz val="10"/>
            <rFont val="Arial"/>
            <family val="2"/>
          </rPr>
          <t xml:space="preserve">(3</t>
        </r>
        <r>
          <rPr>
            <sz val="10"/>
            <rFont val="DejaVu Sans"/>
            <family val="2"/>
          </rPr>
          <t xml:space="preserve">개월 내 </t>
        </r>
        <r>
          <rPr>
            <sz val="10"/>
            <rFont val="Arial"/>
            <family val="2"/>
          </rPr>
          <t xml:space="preserve">75% </t>
        </r>
        <r>
          <rPr>
            <sz val="10"/>
            <rFont val="DejaVu Sans"/>
            <family val="2"/>
          </rPr>
          <t xml:space="preserve">반영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DejaVu Sans"/>
            <family val="2"/>
          </rPr>
          <t xml:space="preserve">을 주간 단위로 환산한 벤치마킹 지표</t>
        </r>
        <r>
          <rPr>
            <sz val="10"/>
            <rFont val="Arial"/>
            <family val="2"/>
          </rPr>
          <t xml:space="preserve">. ↑ </t>
        </r>
        <r>
          <rPr>
            <sz val="10"/>
            <rFont val="DejaVu Sans"/>
            <family val="2"/>
          </rPr>
          <t xml:space="preserve">양호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<sst xmlns="http://schemas.openxmlformats.org/spreadsheetml/2006/main" count="324" uniqueCount="158">
  <si>
    <r>
      <rPr>
        <b val="true"/>
        <sz val="14"/>
        <color rgb="FFFFFFFF"/>
        <rFont val="DejaVu Sans"/>
        <family val="2"/>
      </rPr>
      <t xml:space="preserve">시선닷컴 주간 성과 입력 </t>
    </r>
    <r>
      <rPr>
        <b val="true"/>
        <sz val="14"/>
        <color rgb="FFFFFFFF"/>
        <rFont val="DejaVu Sans"/>
        <family val="2"/>
        <charset val="1"/>
      </rPr>
      <t xml:space="preserve">(raw </t>
    </r>
    <r>
      <rPr>
        <b val="true"/>
        <sz val="14"/>
        <color rgb="FFFFFFFF"/>
        <rFont val="DejaVu Sans"/>
        <family val="2"/>
      </rPr>
      <t xml:space="preserve">데이터 </t>
    </r>
    <r>
      <rPr>
        <b val="true"/>
        <sz val="14"/>
        <color rgb="FFFFFFFF"/>
        <rFont val="DejaVu Sans"/>
        <family val="2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파란 글씨 </t>
    </r>
    <r>
      <rPr>
        <b val="true"/>
        <sz val="14"/>
        <color rgb="FFFFFFFF"/>
        <rFont val="DejaVu Sans"/>
        <family val="2"/>
        <charset val="1"/>
      </rPr>
      <t xml:space="preserve">= </t>
    </r>
    <r>
      <rPr>
        <b val="true"/>
        <sz val="14"/>
        <color rgb="FFFFFFFF"/>
        <rFont val="DejaVu Sans"/>
        <family val="2"/>
      </rPr>
      <t xml:space="preserve">입력</t>
    </r>
    <r>
      <rPr>
        <b val="true"/>
        <sz val="14"/>
        <color rgb="FFFFFFFF"/>
        <rFont val="DejaVu Sans"/>
        <family val="2"/>
        <charset val="1"/>
      </rPr>
      <t xml:space="preserve">)</t>
    </r>
  </si>
  <si>
    <t xml:space="preserve">항목</t>
  </si>
  <si>
    <t xml:space="preserve">단위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</si>
  <si>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</si>
  <si>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</si>
  <si>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</si>
  <si>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</si>
  <si>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</si>
  <si>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</si>
  <si>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</si>
  <si>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</si>
  <si>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</si>
  <si>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</si>
  <si>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</si>
  <si>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</si>
  <si>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</si>
  <si>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r>
      <rPr>
        <b val="true"/>
        <sz val="10"/>
        <color rgb="FF000000"/>
        <rFont val="Arial"/>
        <family val="0"/>
        <charset val="1"/>
      </rPr>
      <t xml:space="preserve">GMV(</t>
    </r>
    <r>
      <rPr>
        <b val="true"/>
        <sz val="10"/>
        <color rgb="FF000000"/>
        <rFont val="DejaVu Sans"/>
        <family val="2"/>
      </rPr>
      <t xml:space="preserve">거래액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</si>
  <si>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만원</t>
  </si>
  <si>
    <t xml:space="preserve">방문자수</t>
  </si>
  <si>
    <t xml:space="preserve">명</t>
  </si>
  <si>
    <t xml:space="preserve">주문건수</t>
  </si>
  <si>
    <t xml:space="preserve">건</t>
  </si>
  <si>
    <t xml:space="preserve">재구매 주문</t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</si>
  <si>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DejaVu Sans"/>
        <family val="2"/>
      </rPr>
      <t xml:space="preserve">개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DejaVu Sans"/>
        <family val="2"/>
      </rPr>
      <t xml:space="preserve">브랜드 구매고객</t>
    </r>
  </si>
  <si>
    <t xml:space="preserve">구매고객수</t>
  </si>
  <si>
    <t xml:space="preserve">신규회원</t>
  </si>
  <si>
    <t xml:space="preserve">활성멤버십</t>
  </si>
  <si>
    <t xml:space="preserve">정가 거래액</t>
  </si>
  <si>
    <t xml:space="preserve">첫구매 고객</t>
  </si>
  <si>
    <t xml:space="preserve">첫구매후 재구매</t>
  </si>
  <si>
    <r>
      <rPr>
        <b val="true"/>
        <sz val="14"/>
        <color rgb="FFFFFFFF"/>
        <rFont val="DejaVu Sans"/>
        <family val="2"/>
      </rPr>
      <t xml:space="preserve">성과 </t>
    </r>
    <r>
      <rPr>
        <b val="true"/>
        <sz val="14"/>
        <color rgb="FFFFFFFF"/>
        <rFont val="DejaVu Sans"/>
        <family val="2"/>
        <charset val="1"/>
      </rPr>
      <t xml:space="preserve">KPI </t>
    </r>
    <r>
      <rPr>
        <b val="true"/>
        <sz val="14"/>
        <color rgb="FFFFFFFF"/>
        <rFont val="DejaVu Sans"/>
        <family val="2"/>
      </rPr>
      <t xml:space="preserve">계산 </t>
    </r>
    <r>
      <rPr>
        <b val="true"/>
        <sz val="14"/>
        <color rgb="FFFFFFFF"/>
        <rFont val="DejaVu Sans"/>
        <family val="2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노란 셀 </t>
    </r>
    <r>
      <rPr>
        <b val="true"/>
        <sz val="14"/>
        <color rgb="FFFFFFFF"/>
        <rFont val="DejaVu Sans"/>
        <family val="2"/>
        <charset val="1"/>
      </rPr>
      <t xml:space="preserve">= </t>
    </r>
    <r>
      <rPr>
        <b val="true"/>
        <sz val="14"/>
        <color rgb="FFFFFFFF"/>
        <rFont val="DejaVu Sans"/>
        <family val="2"/>
      </rPr>
      <t xml:space="preserve">목표 </t>
    </r>
    <r>
      <rPr>
        <b val="true"/>
        <sz val="14"/>
        <color rgb="FFFFFFFF"/>
        <rFont val="DejaVu Sans"/>
        <family val="2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검정 </t>
    </r>
    <r>
      <rPr>
        <b val="true"/>
        <sz val="14"/>
        <color rgb="FFFFFFFF"/>
        <rFont val="DejaVu Sans"/>
        <family val="2"/>
        <charset val="1"/>
      </rPr>
      <t xml:space="preserve">= </t>
    </r>
    <r>
      <rPr>
        <b val="true"/>
        <sz val="14"/>
        <color rgb="FFFFFFFF"/>
        <rFont val="DejaVu Sans"/>
        <family val="2"/>
      </rPr>
      <t xml:space="preserve">자동 수식</t>
    </r>
    <r>
      <rPr>
        <b val="true"/>
        <sz val="14"/>
        <color rgb="FFFFFFFF"/>
        <rFont val="DejaVu Sans"/>
        <family val="2"/>
        <charset val="1"/>
      </rPr>
      <t xml:space="preserve">)</t>
    </r>
  </si>
  <si>
    <t xml:space="preserve">KPI</t>
  </si>
  <si>
    <t xml:space="preserve">목표</t>
  </si>
  <si>
    <r>
      <rPr>
        <b val="true"/>
        <sz val="10"/>
        <color rgb="FF000000"/>
        <rFont val="DejaVu Sans"/>
        <family val="2"/>
      </rPr>
      <t xml:space="preserve">거래액</t>
    </r>
    <r>
      <rPr>
        <b val="true"/>
        <sz val="10"/>
        <color rgb="FF000000"/>
        <rFont val="DejaVu Sans"/>
        <family val="2"/>
        <charset val="1"/>
      </rPr>
      <t xml:space="preserve">(GMV)</t>
    </r>
  </si>
  <si>
    <r>
      <rPr>
        <b val="true"/>
        <sz val="10"/>
        <color rgb="FF000000"/>
        <rFont val="DejaVu Sans"/>
        <family val="2"/>
      </rPr>
      <t xml:space="preserve">구매 전환율</t>
    </r>
    <r>
      <rPr>
        <b val="true"/>
        <sz val="10"/>
        <color rgb="FF000000"/>
        <rFont val="DejaVu Sans"/>
        <family val="2"/>
        <charset val="1"/>
      </rPr>
      <t xml:space="preserve">(CVR)</t>
    </r>
  </si>
  <si>
    <t xml:space="preserve">%</t>
  </si>
  <si>
    <r>
      <rPr>
        <b val="true"/>
        <sz val="10"/>
        <color rgb="FF000000"/>
        <rFont val="DejaVu Sans"/>
        <family val="2"/>
      </rPr>
      <t xml:space="preserve">객단가</t>
    </r>
    <r>
      <rPr>
        <b val="true"/>
        <sz val="10"/>
        <color rgb="FF000000"/>
        <rFont val="DejaVu Sans"/>
        <family val="2"/>
        <charset val="1"/>
      </rPr>
      <t xml:space="preserve">(AOV)</t>
    </r>
  </si>
  <si>
    <t xml:space="preserve">재구매율</t>
  </si>
  <si>
    <t xml:space="preserve">브랜드 교차구매율</t>
  </si>
  <si>
    <t xml:space="preserve">신규 회원</t>
  </si>
  <si>
    <t xml:space="preserve">정가 판매 비중</t>
  </si>
  <si>
    <t xml:space="preserve">첫구매→재구매 전환율</t>
  </si>
  <si>
    <r>
      <rPr>
        <b val="true"/>
        <sz val="14"/>
        <color rgb="FFFFFFFF"/>
        <rFont val="DejaVu Sans"/>
        <family val="2"/>
      </rPr>
      <t xml:space="preserve">성과 </t>
    </r>
    <r>
      <rPr>
        <b val="true"/>
        <sz val="14"/>
        <color rgb="FFFFFFFF"/>
        <rFont val="DejaVu Sans"/>
        <family val="2"/>
        <charset val="1"/>
      </rPr>
      <t xml:space="preserve">KPI </t>
    </r>
    <r>
      <rPr>
        <b val="true"/>
        <sz val="14"/>
        <color rgb="FFFFFFFF"/>
        <rFont val="DejaVu Sans"/>
        <family val="2"/>
      </rPr>
      <t xml:space="preserve">대시보드 </t>
    </r>
    <r>
      <rPr>
        <b val="true"/>
        <sz val="14"/>
        <color rgb="FFFFFFFF"/>
        <rFont val="DejaVu Sans"/>
        <family val="2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임원보고</t>
    </r>
    <r>
      <rPr>
        <b val="true"/>
        <sz val="14"/>
        <color rgb="FFFFFFFF"/>
        <rFont val="DejaVu Sans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</si>
  <si>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기준 주차</t>
    </r>
    <r>
      <rPr>
        <b val="true"/>
        <sz val="11"/>
        <rFont val="DejaVu Sans"/>
        <family val="2"/>
        <charset val="1"/>
      </rPr>
      <t xml:space="preserve">(1~13)</t>
    </r>
  </si>
  <si>
    <t xml:space="preserve">현재값</t>
  </si>
  <si>
    <t xml:space="preserve">목표 달성률</t>
  </si>
  <si>
    <r>
      <rPr>
        <b val="true"/>
        <sz val="10"/>
        <color rgb="FFFFFFFF"/>
        <rFont val="DejaVu Sans"/>
        <family val="2"/>
      </rPr>
      <t xml:space="preserve">전주대비</t>
    </r>
    <r>
      <rPr>
        <b val="true"/>
        <sz val="10"/>
        <color rgb="FFFFFFFF"/>
        <rFont val="DejaVu Sans"/>
        <family val="2"/>
        <charset val="1"/>
      </rPr>
      <t xml:space="preserve">(WoW)</t>
    </r>
  </si>
  <si>
    <r>
      <rPr>
        <b val="true"/>
        <sz val="14"/>
        <color rgb="FFFFFFFF"/>
        <rFont val="DejaVu Sans"/>
        <family val="2"/>
      </rPr>
      <t xml:space="preserve">브랜드별 거래액 </t>
    </r>
    <r>
      <rPr>
        <b val="true"/>
        <sz val="14"/>
        <color rgb="FFFFFFFF"/>
        <rFont val="DejaVu Sans"/>
        <family val="2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만원 </t>
    </r>
    <r>
      <rPr>
        <b val="true"/>
        <sz val="14"/>
        <color rgb="FFFFFFFF"/>
        <rFont val="DejaVu Sans"/>
        <family val="2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파란 글씨 </t>
    </r>
    <r>
      <rPr>
        <b val="true"/>
        <sz val="14"/>
        <color rgb="FFFFFFFF"/>
        <rFont val="DejaVu Sans"/>
        <family val="2"/>
        <charset val="1"/>
      </rPr>
      <t xml:space="preserve">= </t>
    </r>
    <r>
      <rPr>
        <b val="true"/>
        <sz val="14"/>
        <color rgb="FFFFFFFF"/>
        <rFont val="DejaVu Sans"/>
        <family val="2"/>
      </rPr>
      <t xml:space="preserve">입력</t>
    </r>
    <r>
      <rPr>
        <b val="true"/>
        <sz val="14"/>
        <color rgb="FFFFFFFF"/>
        <rFont val="DejaVu Sans"/>
        <family val="2"/>
        <charset val="1"/>
      </rPr>
      <t xml:space="preserve">)</t>
    </r>
  </si>
  <si>
    <t xml:space="preserve">브랜드</t>
  </si>
  <si>
    <t xml:space="preserve">MICHAA</t>
  </si>
  <si>
    <t xml:space="preserve">IT MICHAA</t>
  </si>
  <si>
    <t xml:space="preserve">S SOLEZIA</t>
  </si>
  <si>
    <t xml:space="preserve">LEWITT</t>
  </si>
  <si>
    <t xml:space="preserve">E.B.M</t>
  </si>
  <si>
    <t xml:space="preserve">합계</t>
  </si>
  <si>
    <r>
      <rPr>
        <b val="true"/>
        <sz val="14"/>
        <color rgb="FFFFFFFF"/>
        <rFont val="DejaVu Sans"/>
        <family val="2"/>
      </rPr>
      <t xml:space="preserve">주간 운영 입력 </t>
    </r>
    <r>
      <rPr>
        <b val="true"/>
        <sz val="14"/>
        <color rgb="FFFFFFFF"/>
        <rFont val="DejaVu Sans"/>
        <family val="2"/>
        <charset val="1"/>
      </rPr>
      <t xml:space="preserve">(raw </t>
    </r>
    <r>
      <rPr>
        <b val="true"/>
        <sz val="14"/>
        <color rgb="FFFFFFFF"/>
        <rFont val="DejaVu Sans"/>
        <family val="2"/>
      </rPr>
      <t xml:space="preserve">데이터 </t>
    </r>
    <r>
      <rPr>
        <b val="true"/>
        <sz val="14"/>
        <color rgb="FFFFFFFF"/>
        <rFont val="DejaVu Sans"/>
        <family val="2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파란 글씨 </t>
    </r>
    <r>
      <rPr>
        <b val="true"/>
        <sz val="14"/>
        <color rgb="FFFFFFFF"/>
        <rFont val="DejaVu Sans"/>
        <family val="2"/>
        <charset val="1"/>
      </rPr>
      <t xml:space="preserve">= </t>
    </r>
    <r>
      <rPr>
        <b val="true"/>
        <sz val="14"/>
        <color rgb="FFFFFFFF"/>
        <rFont val="DejaVu Sans"/>
        <family val="2"/>
      </rPr>
      <t xml:space="preserve">입력</t>
    </r>
    <r>
      <rPr>
        <b val="true"/>
        <sz val="14"/>
        <color rgb="FFFFFFFF"/>
        <rFont val="DejaVu Sans"/>
        <family val="2"/>
        <charset val="1"/>
      </rPr>
      <t xml:space="preserve">)</t>
    </r>
  </si>
  <si>
    <t xml:space="preserve">운영요청 접수</t>
  </si>
  <si>
    <r>
      <rPr>
        <b val="true"/>
        <sz val="10"/>
        <color rgb="FF000000"/>
        <rFont val="Arial"/>
        <family val="0"/>
        <charset val="1"/>
      </rPr>
      <t xml:space="preserve">SLA</t>
    </r>
    <r>
      <rPr>
        <b val="true"/>
        <sz val="10"/>
        <color rgb="FF000000"/>
        <rFont val="DejaVu Sans"/>
        <family val="2"/>
      </rPr>
      <t xml:space="preserve">내 처리</t>
    </r>
  </si>
  <si>
    <t xml:space="preserve">리드타임 합</t>
  </si>
  <si>
    <t xml:space="preserve">일</t>
  </si>
  <si>
    <t xml:space="preserve">계획 릴리스</t>
  </si>
  <si>
    <t xml:space="preserve">정시 릴리스</t>
  </si>
  <si>
    <t xml:space="preserve">기획서 제출</t>
  </si>
  <si>
    <t xml:space="preserve">기획서 재작업</t>
  </si>
  <si>
    <t xml:space="preserve">장애</t>
  </si>
  <si>
    <t xml:space="preserve">오류</t>
  </si>
  <si>
    <r>
      <rPr>
        <b val="true"/>
        <sz val="10"/>
        <color rgb="FF000000"/>
        <rFont val="Arial"/>
        <family val="0"/>
        <charset val="1"/>
      </rPr>
      <t xml:space="preserve">CS </t>
    </r>
    <r>
      <rPr>
        <b val="true"/>
        <sz val="10"/>
        <color rgb="FF000000"/>
        <rFont val="DejaVu Sans"/>
        <family val="2"/>
      </rPr>
      <t xml:space="preserve">문의</t>
    </r>
  </si>
  <si>
    <r>
      <rPr>
        <b val="true"/>
        <sz val="10"/>
        <color rgb="FF000000"/>
        <rFont val="Arial"/>
        <family val="0"/>
        <charset val="1"/>
      </rPr>
      <t xml:space="preserve">CS </t>
    </r>
    <r>
      <rPr>
        <b val="true"/>
        <sz val="10"/>
        <color rgb="FF000000"/>
        <rFont val="DejaVu Sans"/>
        <family val="2"/>
      </rPr>
      <t xml:space="preserve">반영</t>
    </r>
  </si>
  <si>
    <r>
      <rPr>
        <b val="true"/>
        <sz val="10"/>
        <color rgb="FF000000"/>
        <rFont val="Arial"/>
        <family val="0"/>
        <charset val="1"/>
      </rPr>
      <t xml:space="preserve">A/B </t>
    </r>
    <r>
      <rPr>
        <b val="true"/>
        <sz val="10"/>
        <color rgb="FF000000"/>
        <rFont val="DejaVu Sans"/>
        <family val="2"/>
      </rPr>
      <t xml:space="preserve">진행</t>
    </r>
  </si>
  <si>
    <r>
      <rPr>
        <b val="true"/>
        <sz val="10"/>
        <color rgb="FF000000"/>
        <rFont val="Arial"/>
        <family val="0"/>
        <charset val="1"/>
      </rPr>
      <t xml:space="preserve">A/B </t>
    </r>
    <r>
      <rPr>
        <b val="true"/>
        <sz val="10"/>
        <color rgb="FF000000"/>
        <rFont val="DejaVu Sans"/>
        <family val="2"/>
      </rPr>
      <t xml:space="preserve">유의미</t>
    </r>
  </si>
  <si>
    <t xml:space="preserve">출시 기능</t>
  </si>
  <si>
    <t xml:space="preserve">출시후 달성</t>
  </si>
  <si>
    <t xml:space="preserve">수집 피드백</t>
  </si>
  <si>
    <t xml:space="preserve">반영 피드백</t>
  </si>
  <si>
    <r>
      <rPr>
        <b val="true"/>
        <sz val="14"/>
        <color rgb="FFFFFFFF"/>
        <rFont val="DejaVu Sans"/>
        <family val="2"/>
      </rPr>
      <t xml:space="preserve">운영 </t>
    </r>
    <r>
      <rPr>
        <b val="true"/>
        <sz val="14"/>
        <color rgb="FFFFFFFF"/>
        <rFont val="DejaVu Sans"/>
        <family val="2"/>
        <charset val="1"/>
      </rPr>
      <t xml:space="preserve">KPI </t>
    </r>
    <r>
      <rPr>
        <b val="true"/>
        <sz val="14"/>
        <color rgb="FFFFFFFF"/>
        <rFont val="DejaVu Sans"/>
        <family val="2"/>
      </rPr>
      <t xml:space="preserve">계산 </t>
    </r>
    <r>
      <rPr>
        <b val="true"/>
        <sz val="14"/>
        <color rgb="FFFFFFFF"/>
        <rFont val="DejaVu Sans"/>
        <family val="2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노란 셀 </t>
    </r>
    <r>
      <rPr>
        <b val="true"/>
        <sz val="14"/>
        <color rgb="FFFFFFFF"/>
        <rFont val="DejaVu Sans"/>
        <family val="2"/>
        <charset val="1"/>
      </rPr>
      <t xml:space="preserve">= </t>
    </r>
    <r>
      <rPr>
        <b val="true"/>
        <sz val="14"/>
        <color rgb="FFFFFFFF"/>
        <rFont val="DejaVu Sans"/>
        <family val="2"/>
      </rPr>
      <t xml:space="preserve">목표 </t>
    </r>
    <r>
      <rPr>
        <b val="true"/>
        <sz val="14"/>
        <color rgb="FFFFFFFF"/>
        <rFont val="DejaVu Sans"/>
        <family val="2"/>
        <charset val="1"/>
      </rPr>
      <t xml:space="preserve">· ↓ </t>
    </r>
    <r>
      <rPr>
        <b val="true"/>
        <sz val="14"/>
        <color rgb="FFFFFFFF"/>
        <rFont val="DejaVu Sans"/>
        <family val="2"/>
      </rPr>
      <t xml:space="preserve">지표는 낮을수록 양호</t>
    </r>
    <r>
      <rPr>
        <b val="true"/>
        <sz val="14"/>
        <color rgb="FFFFFFFF"/>
        <rFont val="DejaVu Sans"/>
        <family val="2"/>
        <charset val="1"/>
      </rPr>
      <t xml:space="preserve">)</t>
    </r>
  </si>
  <si>
    <t xml:space="preserve">양호방향</t>
  </si>
  <si>
    <r>
      <rPr>
        <b val="true"/>
        <sz val="10"/>
        <color rgb="FF000000"/>
        <rFont val="Arial"/>
        <family val="0"/>
        <charset val="1"/>
      </rPr>
      <t xml:space="preserve">SLA </t>
    </r>
    <r>
      <rPr>
        <b val="true"/>
        <sz val="10"/>
        <color rgb="FF000000"/>
        <rFont val="DejaVu Sans"/>
        <family val="2"/>
      </rPr>
      <t xml:space="preserve">준수율</t>
    </r>
  </si>
  <si>
    <t xml:space="preserve">↑</t>
  </si>
  <si>
    <t xml:space="preserve">평균 리드타임</t>
  </si>
  <si>
    <t xml:space="preserve">↓</t>
  </si>
  <si>
    <t xml:space="preserve">릴리스 정시율</t>
  </si>
  <si>
    <t xml:space="preserve">기획서 재작업률</t>
  </si>
  <si>
    <t xml:space="preserve">장애 건수</t>
  </si>
  <si>
    <t xml:space="preserve">오류 건수</t>
  </si>
  <si>
    <r>
      <rPr>
        <b val="true"/>
        <sz val="10"/>
        <color rgb="FF000000"/>
        <rFont val="Arial"/>
        <family val="0"/>
        <charset val="1"/>
      </rPr>
      <t xml:space="preserve">CS </t>
    </r>
    <r>
      <rPr>
        <b val="true"/>
        <sz val="10"/>
        <color rgb="FF000000"/>
        <rFont val="DejaVu Sans"/>
        <family val="2"/>
      </rPr>
      <t xml:space="preserve">반영률</t>
    </r>
  </si>
  <si>
    <r>
      <rPr>
        <b val="true"/>
        <sz val="10"/>
        <color rgb="FF000000"/>
        <rFont val="Arial"/>
        <family val="0"/>
        <charset val="1"/>
      </rPr>
      <t xml:space="preserve">A/B </t>
    </r>
    <r>
      <rPr>
        <b val="true"/>
        <sz val="10"/>
        <color rgb="FF000000"/>
        <rFont val="DejaVu Sans"/>
        <family val="2"/>
      </rPr>
      <t xml:space="preserve">유의미 도출률</t>
    </r>
  </si>
  <si>
    <r>
      <rPr>
        <b val="true"/>
        <sz val="10"/>
        <color rgb="FF000000"/>
        <rFont val="DejaVu Sans"/>
        <family val="2"/>
      </rPr>
      <t xml:space="preserve">출시후 </t>
    </r>
    <r>
      <rPr>
        <b val="true"/>
        <sz val="10"/>
        <color rgb="FF000000"/>
        <rFont val="DejaVu Sans"/>
        <family val="2"/>
        <charset val="1"/>
      </rPr>
      <t xml:space="preserve">KPI </t>
    </r>
    <r>
      <rPr>
        <b val="true"/>
        <sz val="10"/>
        <color rgb="FF000000"/>
        <rFont val="DejaVu Sans"/>
        <family val="2"/>
      </rPr>
      <t xml:space="preserve">달성률</t>
    </r>
  </si>
  <si>
    <t xml:space="preserve">고객 피드백 반영률</t>
  </si>
  <si>
    <r>
      <rPr>
        <b val="true"/>
        <sz val="14"/>
        <color rgb="FFFFFFFF"/>
        <rFont val="DejaVu Sans"/>
        <family val="2"/>
      </rPr>
      <t xml:space="preserve">운영 </t>
    </r>
    <r>
      <rPr>
        <b val="true"/>
        <sz val="14"/>
        <color rgb="FFFFFFFF"/>
        <rFont val="DejaVu Sans"/>
        <family val="2"/>
        <charset val="1"/>
      </rPr>
      <t xml:space="preserve">KPI </t>
    </r>
    <r>
      <rPr>
        <b val="true"/>
        <sz val="14"/>
        <color rgb="FFFFFFFF"/>
        <rFont val="DejaVu Sans"/>
        <family val="2"/>
      </rPr>
      <t xml:space="preserve">대시보드 </t>
    </r>
    <r>
      <rPr>
        <b val="true"/>
        <sz val="14"/>
        <color rgb="FFFFFFFF"/>
        <rFont val="DejaVu Sans"/>
        <family val="2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임원보고</t>
    </r>
    <r>
      <rPr>
        <b val="true"/>
        <sz val="14"/>
        <color rgb="FFFFFFFF"/>
        <rFont val="DejaVu Sans"/>
        <family val="2"/>
        <charset val="1"/>
      </rPr>
      <t xml:space="preserve">)</t>
    </r>
  </si>
  <si>
    <t xml:space="preserve">방향</t>
  </si>
  <si>
    <t xml:space="preserve">판정</t>
  </si>
  <si>
    <r>
      <rPr>
        <b val="true"/>
        <sz val="13"/>
        <color rgb="FFFFFFFF"/>
        <rFont val="DejaVu Sans"/>
        <family val="2"/>
      </rPr>
      <t xml:space="preserve">평가 가중 체계 </t>
    </r>
    <r>
      <rPr>
        <b val="true"/>
        <sz val="13"/>
        <color rgb="FFFFFFFF"/>
        <rFont val="DejaVu Sans"/>
        <family val="2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개인 성과 </t>
    </r>
    <r>
      <rPr>
        <b val="true"/>
        <sz val="13"/>
        <color rgb="FFFFFFFF"/>
        <rFont val="DejaVu Sans"/>
        <family val="2"/>
        <charset val="1"/>
      </rPr>
      <t xml:space="preserve">50 / </t>
    </r>
    <r>
      <rPr>
        <b val="true"/>
        <sz val="13"/>
        <color rgb="FFFFFFFF"/>
        <rFont val="DejaVu Sans"/>
        <family val="2"/>
      </rPr>
      <t xml:space="preserve">협업 </t>
    </r>
    <r>
      <rPr>
        <b val="true"/>
        <sz val="13"/>
        <color rgb="FFFFFFFF"/>
        <rFont val="DejaVu Sans"/>
        <family val="2"/>
        <charset val="1"/>
      </rPr>
      <t xml:space="preserve">20 / </t>
    </r>
    <r>
      <rPr>
        <b val="true"/>
        <sz val="13"/>
        <color rgb="FFFFFFFF"/>
        <rFont val="DejaVu Sans"/>
        <family val="2"/>
      </rPr>
      <t xml:space="preserve">비즈니스 </t>
    </r>
    <r>
      <rPr>
        <b val="true"/>
        <sz val="13"/>
        <color rgb="FFFFFFFF"/>
        <rFont val="DejaVu Sans"/>
        <family val="2"/>
        <charset val="1"/>
      </rPr>
      <t xml:space="preserve">30)</t>
    </r>
  </si>
  <si>
    <t xml:space="preserve">평가축</t>
  </si>
  <si>
    <t xml:space="preserve">가중치</t>
  </si>
  <si>
    <t xml:space="preserve">포함 지표</t>
  </si>
  <si>
    <t xml:space="preserve">개인 성과</t>
  </si>
  <si>
    <t xml:space="preserve">50%</t>
  </si>
  <si>
    <r>
      <rPr>
        <sz val="10"/>
        <rFont val="DejaVu Sans"/>
        <family val="2"/>
      </rPr>
      <t xml:space="preserve">거래액</t>
    </r>
    <r>
      <rPr>
        <sz val="10"/>
        <rFont val="DejaVu Sans"/>
        <family val="2"/>
        <charset val="1"/>
      </rPr>
      <t xml:space="preserve">(GMV), </t>
    </r>
    <r>
      <rPr>
        <sz val="10"/>
        <rFont val="DejaVu Sans"/>
        <family val="2"/>
      </rPr>
      <t xml:space="preserve">구매 전환율</t>
    </r>
    <r>
      <rPr>
        <sz val="10"/>
        <rFont val="DejaVu Sans"/>
        <family val="2"/>
        <charset val="1"/>
      </rPr>
      <t xml:space="preserve">(CVR), </t>
    </r>
    <r>
      <rPr>
        <sz val="10"/>
        <rFont val="DejaVu Sans"/>
        <family val="2"/>
      </rPr>
      <t xml:space="preserve">객단가</t>
    </r>
    <r>
      <rPr>
        <sz val="10"/>
        <rFont val="DejaVu Sans"/>
        <family val="2"/>
        <charset val="1"/>
      </rPr>
      <t xml:space="preserve">(AOV), </t>
    </r>
    <r>
      <rPr>
        <sz val="10"/>
        <rFont val="DejaVu Sans"/>
        <family val="2"/>
      </rPr>
      <t xml:space="preserve">재구매율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신규 회원</t>
    </r>
  </si>
  <si>
    <t xml:space="preserve">협업</t>
  </si>
  <si>
    <t xml:space="preserve">20%</t>
  </si>
  <si>
    <r>
      <rPr>
        <sz val="10"/>
        <rFont val="Arial"/>
        <family val="0"/>
        <charset val="1"/>
      </rPr>
      <t xml:space="preserve">SLA </t>
    </r>
    <r>
      <rPr>
        <sz val="10"/>
        <rFont val="DejaVu Sans"/>
        <family val="2"/>
      </rPr>
      <t xml:space="preserve">준수율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평균 리드타임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릴리스 정시율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기획서 재작업률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장애 건수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오류 건수</t>
    </r>
    <r>
      <rPr>
        <sz val="10"/>
        <rFont val="Arial"/>
        <family val="0"/>
        <charset val="1"/>
      </rPr>
      <t xml:space="preserve">, CS </t>
    </r>
    <r>
      <rPr>
        <sz val="10"/>
        <rFont val="DejaVu Sans"/>
        <family val="2"/>
      </rPr>
      <t xml:space="preserve">문의</t>
    </r>
    <r>
      <rPr>
        <sz val="10"/>
        <rFont val="Arial"/>
        <family val="0"/>
        <charset val="1"/>
      </rPr>
      <t xml:space="preserve">, CS </t>
    </r>
    <r>
      <rPr>
        <sz val="10"/>
        <rFont val="DejaVu Sans"/>
        <family val="2"/>
      </rPr>
      <t xml:space="preserve">반영률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고객 피드백 반영률</t>
    </r>
  </si>
  <si>
    <t xml:space="preserve">비즈니스 관점</t>
  </si>
  <si>
    <t xml:space="preserve">30%</t>
  </si>
  <si>
    <r>
      <rPr>
        <sz val="10"/>
        <rFont val="DejaVu Sans"/>
        <family val="2"/>
      </rPr>
      <t xml:space="preserve">정가 판매 비중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브랜드 교차구매율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첫구매→재구매 전환율</t>
    </r>
    <r>
      <rPr>
        <sz val="10"/>
        <rFont val="DejaVu Sans"/>
        <family val="2"/>
        <charset val="1"/>
      </rPr>
      <t xml:space="preserve">, A/B </t>
    </r>
    <r>
      <rPr>
        <sz val="10"/>
        <rFont val="DejaVu Sans"/>
        <family val="2"/>
      </rPr>
      <t xml:space="preserve">유의미 도출률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출시후 </t>
    </r>
    <r>
      <rPr>
        <sz val="10"/>
        <rFont val="DejaVu Sans"/>
        <family val="2"/>
        <charset val="1"/>
      </rPr>
      <t xml:space="preserve">KPI </t>
    </r>
    <r>
      <rPr>
        <sz val="10"/>
        <rFont val="DejaVu Sans"/>
        <family val="2"/>
      </rPr>
      <t xml:space="preserve">달성률</t>
    </r>
  </si>
  <si>
    <t xml:space="preserve">종합 점수</t>
  </si>
  <si>
    <t xml:space="preserve">가중합</t>
  </si>
  <si>
    <r>
      <rPr>
        <sz val="10"/>
        <rFont val="DejaVu Sans"/>
        <family val="2"/>
      </rPr>
      <t xml:space="preserve">산식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성과 달성률</t>
    </r>
    <r>
      <rPr>
        <sz val="10"/>
        <rFont val="DejaVu Sans"/>
        <family val="2"/>
        <charset val="1"/>
      </rPr>
      <t xml:space="preserve">×0.5 + </t>
    </r>
    <r>
      <rPr>
        <sz val="10"/>
        <rFont val="DejaVu Sans"/>
        <family val="2"/>
      </rPr>
      <t xml:space="preserve">협업 달성률</t>
    </r>
    <r>
      <rPr>
        <sz val="10"/>
        <rFont val="DejaVu Sans"/>
        <family val="2"/>
        <charset val="1"/>
      </rPr>
      <t xml:space="preserve">×0.2 + </t>
    </r>
    <r>
      <rPr>
        <sz val="10"/>
        <rFont val="DejaVu Sans"/>
        <family val="2"/>
      </rPr>
      <t xml:space="preserve">비즈니스 달성률</t>
    </r>
    <r>
      <rPr>
        <sz val="10"/>
        <rFont val="DejaVu Sans"/>
        <family val="2"/>
        <charset val="1"/>
      </rPr>
      <t xml:space="preserve">×0.3 (</t>
    </r>
    <r>
      <rPr>
        <sz val="10"/>
        <rFont val="DejaVu Sans"/>
        <family val="2"/>
      </rPr>
      <t xml:space="preserve">달성률은 평가용 </t>
    </r>
    <r>
      <rPr>
        <sz val="10"/>
        <rFont val="DejaVu Sans"/>
        <family val="2"/>
        <charset val="1"/>
      </rPr>
      <t xml:space="preserve">100% </t>
    </r>
    <r>
      <rPr>
        <sz val="10"/>
        <rFont val="DejaVu Sans"/>
        <family val="2"/>
      </rPr>
      <t xml:space="preserve">상한</t>
    </r>
    <r>
      <rPr>
        <sz val="10"/>
        <rFont val="DejaVu Sans"/>
        <family val="2"/>
        <charset val="1"/>
      </rPr>
      <t xml:space="preserve">). </t>
    </r>
    <r>
      <rPr>
        <sz val="10"/>
        <rFont val="DejaVu Sans"/>
        <family val="2"/>
      </rPr>
      <t xml:space="preserve">실시간 계산은 웹 대시보드 </t>
    </r>
    <r>
      <rPr>
        <sz val="10"/>
        <rFont val="DejaVu Sans"/>
        <family val="2"/>
        <charset val="1"/>
      </rPr>
      <t xml:space="preserve">"</t>
    </r>
    <r>
      <rPr>
        <sz val="10"/>
        <rFont val="DejaVu Sans"/>
        <family val="2"/>
      </rPr>
      <t xml:space="preserve">종합 평가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탭 참조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</si>
  <si>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3"/>
        <color rgb="FFFFFFFF"/>
        <rFont val="Arial"/>
        <family val="0"/>
        <charset val="1"/>
      </rPr>
      <t xml:space="preserve">KPI</t>
    </r>
    <r>
      <rPr>
        <b val="true"/>
        <sz val="13"/>
        <color rgb="FFFFFFFF"/>
        <rFont val="DejaVu Sans"/>
        <family val="2"/>
      </rPr>
      <t xml:space="preserve">별 평가축 </t>
    </r>
    <r>
      <rPr>
        <b val="true"/>
        <sz val="13"/>
        <color rgb="FFFFFFFF"/>
        <rFont val="Arial"/>
        <family val="0"/>
        <charset val="1"/>
      </rPr>
      <t xml:space="preserve">· </t>
    </r>
    <r>
      <rPr>
        <b val="true"/>
        <sz val="13"/>
        <color rgb="FFFFFFFF"/>
        <rFont val="DejaVu Sans"/>
        <family val="2"/>
      </rPr>
      <t xml:space="preserve">출처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경쟁사 벤치마크</t>
    </r>
    <r>
      <rPr>
        <b val="true"/>
        <sz val="13"/>
        <color rgb="FFFFFFFF"/>
        <rFont val="Arial"/>
        <family val="0"/>
        <charset val="1"/>
      </rPr>
      <t xml:space="preserve">) · </t>
    </r>
    <r>
      <rPr>
        <b val="true"/>
        <sz val="13"/>
        <color rgb="FFFFFFFF"/>
        <rFont val="DejaVu Sans"/>
        <family val="2"/>
      </rPr>
      <t xml:space="preserve">비즈니스 기대효과</t>
    </r>
  </si>
  <si>
    <r>
      <rPr>
        <b val="true"/>
        <sz val="10"/>
        <color rgb="FFFFFFFF"/>
        <rFont val="DejaVu Sans"/>
        <family val="2"/>
      </rPr>
      <t xml:space="preserve">출처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벤치마크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</si>
  <si>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KPI </t>
    </r>
    <r>
      <rPr>
        <b val="true"/>
        <sz val="10"/>
        <color rgb="FFFFFFFF"/>
        <rFont val="DejaVu Sans"/>
        <family val="2"/>
      </rPr>
      <t xml:space="preserve">달성 시 비즈니스 기대효과</t>
    </r>
  </si>
  <si>
    <t xml:space="preserve">성과</t>
  </si>
  <si>
    <r>
      <rPr>
        <b val="true"/>
        <sz val="10"/>
        <rFont val="DejaVu Sans"/>
        <family val="2"/>
      </rPr>
      <t xml:space="preserve">거래액</t>
    </r>
    <r>
      <rPr>
        <b val="true"/>
        <sz val="10"/>
        <rFont val="DejaVu Sans"/>
        <family val="2"/>
        <charset val="1"/>
      </rPr>
      <t xml:space="preserve">(GMV)</t>
    </r>
  </si>
  <si>
    <r>
      <rPr>
        <sz val="10"/>
        <rFont val="DejaVu Sans"/>
        <family val="2"/>
      </rPr>
      <t xml:space="preserve">내부 목표 </t>
    </r>
    <r>
      <rPr>
        <sz val="10"/>
        <rFont val="DejaVu Sans"/>
        <family val="2"/>
        <charset val="1"/>
      </rPr>
      <t xml:space="preserve">· </t>
    </r>
    <r>
      <rPr>
        <sz val="10"/>
        <rFont val="DejaVu Sans"/>
        <family val="2"/>
      </rPr>
      <t xml:space="preserve">시장규모 참고</t>
    </r>
    <r>
      <rPr>
        <sz val="10"/>
        <rFont val="DejaVu Sans"/>
        <family val="2"/>
        <charset val="1"/>
      </rPr>
      <t xml:space="preserve">: 29CM </t>
    </r>
    <r>
      <rPr>
        <sz val="10"/>
        <rFont val="DejaVu Sans"/>
        <family val="2"/>
      </rPr>
      <t xml:space="preserve">거래액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조원</t>
    </r>
    <r>
      <rPr>
        <sz val="10"/>
        <rFont val="DejaVu Sans"/>
        <family val="2"/>
        <charset val="1"/>
      </rPr>
      <t xml:space="preserve">('24)·W</t>
    </r>
    <r>
      <rPr>
        <sz val="10"/>
        <rFont val="DejaVu Sans"/>
        <family val="2"/>
      </rPr>
      <t xml:space="preserve">컨셉 </t>
    </r>
    <r>
      <rPr>
        <sz val="10"/>
        <rFont val="DejaVu Sans"/>
        <family val="2"/>
        <charset val="1"/>
      </rPr>
      <t xml:space="preserve">5,722</t>
    </r>
    <r>
      <rPr>
        <sz val="10"/>
        <rFont val="DejaVu Sans"/>
        <family val="2"/>
      </rPr>
      <t xml:space="preserve">억</t>
    </r>
    <r>
      <rPr>
        <sz val="10"/>
        <rFont val="DejaVu Sans"/>
        <family val="2"/>
        <charset val="1"/>
      </rPr>
      <t xml:space="preserve">('24) [ref 05·06]</t>
    </r>
  </si>
  <si>
    <r>
      <rPr>
        <sz val="10"/>
        <rFont val="DejaVu Sans"/>
        <family val="2"/>
      </rPr>
      <t xml:space="preserve">매출 규모 확대 → 플랫폼 성장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바잉파워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고정비 분산의 기반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</si>
  <si>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DejaVu Sans"/>
        <family val="2"/>
      </rPr>
      <t xml:space="preserve">구매 전환율</t>
    </r>
    <r>
      <rPr>
        <b val="true"/>
        <sz val="10"/>
        <rFont val="DejaVu Sans"/>
        <family val="2"/>
        <charset val="1"/>
      </rPr>
      <t xml:space="preserve">(CVR)</t>
    </r>
  </si>
  <si>
    <r>
      <rPr>
        <sz val="10"/>
        <rFont val="DejaVu Sans"/>
        <family val="2"/>
      </rPr>
      <t xml:space="preserve">무신사 세분화 필터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랭킹</t>
    </r>
    <r>
      <rPr>
        <sz val="10"/>
        <rFont val="DejaVu Sans"/>
        <family val="2"/>
        <charset val="1"/>
      </rPr>
      <t xml:space="preserve">, SSF </t>
    </r>
    <r>
      <rPr>
        <sz val="10"/>
        <rFont val="DejaVu Sans"/>
        <family val="2"/>
      </rPr>
      <t xml:space="preserve">데이터기반 개인화 추천 </t>
    </r>
    <r>
      <rPr>
        <sz val="10"/>
        <rFont val="DejaVu Sans"/>
        <family val="2"/>
        <charset val="1"/>
      </rPr>
      <t xml:space="preserve">[ref 01·04]</t>
    </r>
  </si>
  <si>
    <r>
      <rPr>
        <sz val="10"/>
        <rFont val="DejaVu Sans"/>
        <family val="2"/>
      </rPr>
      <t xml:space="preserve">같은 트래픽으로 매출↑ → 광고비 효율</t>
    </r>
    <r>
      <rPr>
        <sz val="10"/>
        <rFont val="DejaVu Sans"/>
        <family val="2"/>
        <charset val="1"/>
      </rPr>
      <t xml:space="preserve">(ROAS) </t>
    </r>
    <r>
      <rPr>
        <sz val="10"/>
        <rFont val="DejaVu Sans"/>
        <family val="2"/>
      </rPr>
      <t xml:space="preserve">개선</t>
    </r>
    <r>
      <rPr>
        <sz val="10"/>
        <rFont val="DejaVu Sans"/>
        <family val="2"/>
        <charset val="1"/>
      </rPr>
      <t xml:space="preserve">, CAC </t>
    </r>
    <r>
      <rPr>
        <sz val="10"/>
        <rFont val="DejaVu Sans"/>
        <family val="2"/>
      </rPr>
      <t xml:space="preserve">회수 가속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</si>
  <si>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DejaVu Sans"/>
        <family val="2"/>
      </rPr>
      <t xml:space="preserve">객단가</t>
    </r>
    <r>
      <rPr>
        <b val="true"/>
        <sz val="10"/>
        <rFont val="DejaVu Sans"/>
        <family val="2"/>
        <charset val="1"/>
      </rPr>
      <t xml:space="preserve">(AOV)</t>
    </r>
  </si>
  <si>
    <r>
      <rPr>
        <sz val="10"/>
        <rFont val="Arial"/>
        <family val="0"/>
        <charset val="1"/>
      </rPr>
      <t xml:space="preserve">LF</t>
    </r>
    <r>
      <rPr>
        <sz val="10"/>
        <rFont val="DejaVu Sans"/>
        <family val="2"/>
      </rPr>
      <t xml:space="preserve">몰 코디 묶음</t>
    </r>
    <r>
      <rPr>
        <sz val="10"/>
        <rFont val="Arial"/>
        <family val="0"/>
        <charset val="1"/>
      </rPr>
      <t xml:space="preserve">·ZARA '</t>
    </r>
    <r>
      <rPr>
        <sz val="10"/>
        <rFont val="DejaVu Sans"/>
        <family val="2"/>
      </rPr>
      <t xml:space="preserve">완성된 룩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코디 </t>
    </r>
    <r>
      <rPr>
        <sz val="10"/>
        <rFont val="Arial"/>
        <family val="0"/>
        <charset val="1"/>
      </rPr>
      <t xml:space="preserve">[ref 02·07] · </t>
    </r>
    <r>
      <rPr>
        <sz val="10"/>
        <rFont val="DejaVu Sans"/>
        <family val="2"/>
      </rPr>
      <t xml:space="preserve">비교</t>
    </r>
    <r>
      <rPr>
        <sz val="10"/>
        <rFont val="Arial"/>
        <family val="0"/>
        <charset val="1"/>
      </rPr>
      <t xml:space="preserve">: 29CM </t>
    </r>
    <r>
      <rPr>
        <sz val="10"/>
        <rFont val="DejaVu Sans"/>
        <family val="2"/>
      </rPr>
      <t xml:space="preserve">객단가 </t>
    </r>
    <r>
      <rPr>
        <sz val="10"/>
        <rFont val="Arial"/>
        <family val="0"/>
        <charset val="1"/>
      </rPr>
      <t xml:space="preserve">23</t>
    </r>
    <r>
      <rPr>
        <sz val="10"/>
        <rFont val="DejaVu Sans"/>
        <family val="2"/>
      </rPr>
      <t xml:space="preserve">만원</t>
    </r>
    <r>
      <rPr>
        <sz val="10"/>
        <rFont val="Arial"/>
        <family val="0"/>
        <charset val="1"/>
      </rPr>
      <t xml:space="preserve">+('24)</t>
    </r>
  </si>
  <si>
    <r>
      <rPr>
        <sz val="10"/>
        <rFont val="DejaVu Sans"/>
        <family val="2"/>
      </rPr>
      <t xml:space="preserve">주문당 매출↑ → 동일 주문수로 </t>
    </r>
    <r>
      <rPr>
        <sz val="10"/>
        <rFont val="DejaVu Sans"/>
        <family val="2"/>
        <charset val="1"/>
      </rPr>
      <t xml:space="preserve">GMV </t>
    </r>
    <r>
      <rPr>
        <sz val="10"/>
        <rFont val="DejaVu Sans"/>
        <family val="2"/>
      </rPr>
      <t xml:space="preserve">상승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크로스셀 수익 증대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</si>
  <si>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한섬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바바더닷컴 통합 멤버십</t>
    </r>
    <r>
      <rPr>
        <sz val="10"/>
        <rFont val="DejaVu Sans"/>
        <family val="2"/>
        <charset val="1"/>
      </rPr>
      <t xml:space="preserve">, S.I.VILLAGE </t>
    </r>
    <r>
      <rPr>
        <sz val="10"/>
        <rFont val="DejaVu Sans"/>
        <family val="2"/>
      </rPr>
      <t xml:space="preserve">히스토리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위시리스트 동선 </t>
    </r>
    <r>
      <rPr>
        <sz val="10"/>
        <rFont val="DejaVu Sans"/>
        <family val="2"/>
        <charset val="1"/>
      </rPr>
      <t xml:space="preserve">[ref 03·08·09]</t>
    </r>
  </si>
  <si>
    <r>
      <rPr>
        <sz val="10"/>
        <rFont val="DejaVu Sans"/>
        <family val="2"/>
      </rPr>
      <t xml:space="preserve">충성 고객 매출 안정화 → 신규 의존도↓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마케팅비 절감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</si>
  <si>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SSF Shop UI/UX </t>
    </r>
    <r>
      <rPr>
        <sz val="10"/>
        <rFont val="DejaVu Sans"/>
        <family val="2"/>
      </rPr>
      <t xml:space="preserve">개편 후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대 회원 </t>
    </r>
    <r>
      <rPr>
        <sz val="10"/>
        <rFont val="Arial"/>
        <family val="0"/>
        <charset val="1"/>
      </rPr>
      <t xml:space="preserve">100%+ </t>
    </r>
    <r>
      <rPr>
        <sz val="10"/>
        <rFont val="DejaVu Sans"/>
        <family val="2"/>
      </rPr>
      <t xml:space="preserve">증가 사례 </t>
    </r>
    <r>
      <rPr>
        <sz val="10"/>
        <rFont val="Arial"/>
        <family val="0"/>
        <charset val="1"/>
      </rPr>
      <t xml:space="preserve">[ref 01]</t>
    </r>
  </si>
  <si>
    <r>
      <rPr>
        <sz val="10"/>
        <rFont val="DejaVu Sans"/>
        <family val="2"/>
      </rPr>
      <t xml:space="preserve">미래 매출 풀 확대 → </t>
    </r>
    <r>
      <rPr>
        <sz val="10"/>
        <rFont val="DejaVu Sans"/>
        <family val="2"/>
        <charset val="1"/>
      </rPr>
      <t xml:space="preserve">LTV </t>
    </r>
    <r>
      <rPr>
        <sz val="10"/>
        <rFont val="DejaVu Sans"/>
        <family val="2"/>
      </rPr>
      <t xml:space="preserve">창출의 입구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회원 기반 리타게팅</t>
    </r>
    <r>
      <rPr>
        <sz val="10"/>
        <rFont val="DejaVu Sans"/>
        <family val="2"/>
        <charset val="1"/>
      </rPr>
      <t xml:space="preserve">.</t>
    </r>
  </si>
  <si>
    <t xml:space="preserve">비즈니스</t>
  </si>
  <si>
    <r>
      <rPr>
        <sz val="10"/>
        <rFont val="DejaVu Sans"/>
        <family val="2"/>
      </rPr>
      <t xml:space="preserve">한섬닷컴 </t>
    </r>
    <r>
      <rPr>
        <sz val="10"/>
        <rFont val="DejaVu Sans"/>
        <family val="2"/>
        <charset val="1"/>
      </rPr>
      <t xml:space="preserve">'</t>
    </r>
    <r>
      <rPr>
        <sz val="10"/>
        <rFont val="DejaVu Sans"/>
        <family val="2"/>
      </rPr>
      <t xml:space="preserve">과도한 할인 지양</t>
    </r>
    <r>
      <rPr>
        <sz val="10"/>
        <rFont val="DejaVu Sans"/>
        <family val="2"/>
        <charset val="1"/>
      </rPr>
      <t xml:space="preserve">' </t>
    </r>
    <r>
      <rPr>
        <sz val="10"/>
        <rFont val="DejaVu Sans"/>
        <family val="2"/>
      </rPr>
      <t xml:space="preserve">프리미엄 정책 </t>
    </r>
    <r>
      <rPr>
        <sz val="10"/>
        <rFont val="DejaVu Sans"/>
        <family val="2"/>
        <charset val="1"/>
      </rPr>
      <t xml:space="preserve">[ref 03]</t>
    </r>
  </si>
  <si>
    <r>
      <rPr>
        <sz val="10"/>
        <rFont val="DejaVu Sans"/>
        <family val="2"/>
      </rPr>
      <t xml:space="preserve">마진율↑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브랜드 가치 보존 → 할인 의존 없는 수익 체력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</si>
  <si>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바바더닷컴</t>
    </r>
    <r>
      <rPr>
        <sz val="10"/>
        <rFont val="DejaVu Sans"/>
        <family val="2"/>
        <charset val="1"/>
      </rPr>
      <t xml:space="preserve">·SSF </t>
    </r>
    <r>
      <rPr>
        <sz val="10"/>
        <rFont val="DejaVu Sans"/>
        <family val="2"/>
      </rPr>
      <t xml:space="preserve">통합몰 교차구매</t>
    </r>
    <r>
      <rPr>
        <sz val="10"/>
        <rFont val="DejaVu Sans"/>
        <family val="2"/>
        <charset val="1"/>
      </rPr>
      <t xml:space="preserve">, LF</t>
    </r>
    <r>
      <rPr>
        <sz val="10"/>
        <rFont val="DejaVu Sans"/>
        <family val="2"/>
      </rPr>
      <t xml:space="preserve">몰 통합 멤버십 </t>
    </r>
    <r>
      <rPr>
        <sz val="10"/>
        <rFont val="DejaVu Sans"/>
        <family val="2"/>
        <charset val="1"/>
      </rPr>
      <t xml:space="preserve">[ref 08·01·02]</t>
    </r>
  </si>
  <si>
    <r>
      <rPr>
        <sz val="10"/>
        <rFont val="DejaVu Sans"/>
        <family val="2"/>
      </rPr>
      <t xml:space="preserve">통합몰 시너지 실현 → 고객당 매출</t>
    </r>
    <r>
      <rPr>
        <sz val="10"/>
        <rFont val="DejaVu Sans"/>
        <family val="2"/>
        <charset val="1"/>
      </rPr>
      <t xml:space="preserve">(LTV)↑, </t>
    </r>
    <r>
      <rPr>
        <sz val="10"/>
        <rFont val="DejaVu Sans"/>
        <family val="2"/>
      </rPr>
      <t xml:space="preserve">멀티브랜드 운영 정당성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</si>
  <si>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S.I.VILLAGE </t>
    </r>
    <r>
      <rPr>
        <sz val="10"/>
        <rFont val="DejaVu Sans"/>
        <family val="2"/>
      </rPr>
      <t xml:space="preserve">재방문 동선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바바더닷컴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추천 </t>
    </r>
    <r>
      <rPr>
        <sz val="10"/>
        <rFont val="Arial"/>
        <family val="0"/>
        <charset val="1"/>
      </rPr>
      <t xml:space="preserve">[ref 09·08]</t>
    </r>
  </si>
  <si>
    <r>
      <rPr>
        <sz val="10"/>
        <rFont val="DejaVu Sans"/>
        <family val="2"/>
      </rPr>
      <t xml:space="preserve">신규의 충성 전환 → 리텐션</t>
    </r>
    <r>
      <rPr>
        <sz val="10"/>
        <rFont val="DejaVu Sans"/>
        <family val="2"/>
        <charset val="1"/>
      </rPr>
      <t xml:space="preserve">·LTV </t>
    </r>
    <r>
      <rPr>
        <sz val="10"/>
        <rFont val="DejaVu Sans"/>
        <family val="2"/>
      </rPr>
      <t xml:space="preserve">상승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획득비 회수율 개선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</si>
  <si>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A/B </t>
    </r>
    <r>
      <rPr>
        <b val="true"/>
        <sz val="10"/>
        <rFont val="DejaVu Sans"/>
        <family val="2"/>
      </rPr>
      <t xml:space="preserve">유의미 도출률</t>
    </r>
  </si>
  <si>
    <t xml:space="preserve">데이터 기반 의사결정 업계 표준</t>
  </si>
  <si>
    <r>
      <rPr>
        <sz val="10"/>
        <rFont val="DejaVu Sans"/>
        <family val="2"/>
      </rPr>
      <t xml:space="preserve">의사결정 품질↑ → 잘못된 기획 실패 비용 감소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</si>
  <si>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DejaVu Sans"/>
        <family val="2"/>
      </rPr>
      <t xml:space="preserve">출시후 </t>
    </r>
    <r>
      <rPr>
        <b val="true"/>
        <sz val="10"/>
        <rFont val="DejaVu Sans"/>
        <family val="2"/>
        <charset val="1"/>
      </rPr>
      <t xml:space="preserve">KPI </t>
    </r>
    <r>
      <rPr>
        <b val="true"/>
        <sz val="10"/>
        <rFont val="DejaVu Sans"/>
        <family val="2"/>
      </rPr>
      <t xml:space="preserve">달성률</t>
    </r>
  </si>
  <si>
    <r>
      <rPr>
        <sz val="10"/>
        <rFont val="DejaVu Sans"/>
        <family val="2"/>
      </rPr>
      <t xml:space="preserve">업계 프로덕트팀 출시 </t>
    </r>
    <r>
      <rPr>
        <sz val="10"/>
        <rFont val="DejaVu Sans"/>
        <family val="2"/>
        <charset val="1"/>
      </rPr>
      <t xml:space="preserve">KPI </t>
    </r>
    <r>
      <rPr>
        <sz val="10"/>
        <rFont val="DejaVu Sans"/>
        <family val="2"/>
      </rPr>
      <t xml:space="preserve">표준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내부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</si>
  <si>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기획 리소스 </t>
    </r>
    <r>
      <rPr>
        <sz val="10"/>
        <rFont val="DejaVu Sans"/>
        <family val="2"/>
        <charset val="1"/>
      </rPr>
      <t xml:space="preserve">ROI </t>
    </r>
    <r>
      <rPr>
        <sz val="10"/>
        <rFont val="DejaVu Sans"/>
        <family val="2"/>
      </rPr>
      <t xml:space="preserve">검증 → 가설 적중률↑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자원 배분 정당화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</si>
  <si>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SLA </t>
    </r>
    <r>
      <rPr>
        <b val="true"/>
        <sz val="10"/>
        <rFont val="DejaVu Sans"/>
        <family val="2"/>
      </rPr>
      <t xml:space="preserve">준수율</t>
    </r>
  </si>
  <si>
    <r>
      <rPr>
        <sz val="10"/>
        <rFont val="DejaVu Sans"/>
        <family val="2"/>
      </rPr>
      <t xml:space="preserve">업계 운영 </t>
    </r>
    <r>
      <rPr>
        <sz val="10"/>
        <rFont val="DejaVu Sans"/>
        <family val="2"/>
        <charset val="1"/>
      </rPr>
      <t xml:space="preserve">SLA </t>
    </r>
    <r>
      <rPr>
        <sz val="10"/>
        <rFont val="DejaVu Sans"/>
        <family val="2"/>
      </rPr>
      <t xml:space="preserve">표준</t>
    </r>
  </si>
  <si>
    <r>
      <rPr>
        <sz val="10"/>
        <rFont val="DejaVu Sans"/>
        <family val="2"/>
      </rPr>
      <t xml:space="preserve">요청자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타팀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신뢰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협업 속도↑ → 부서 간 병목 감소</t>
    </r>
    <r>
      <rPr>
        <sz val="10"/>
        <rFont val="DejaVu Sans"/>
        <family val="2"/>
        <charset val="1"/>
      </rPr>
      <t xml:space="preserve">.</t>
    </r>
  </si>
  <si>
    <t xml:space="preserve">업계 운영 리드타임 표준</t>
  </si>
  <si>
    <r>
      <rPr>
        <sz val="10"/>
        <rFont val="DejaVu Sans"/>
        <family val="2"/>
      </rPr>
      <t xml:space="preserve">출시 속도↑ → 시장 기회 선점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대기 기회비용 감소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</si>
  <si>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업계 프로덕트팀 출시일 </t>
    </r>
    <r>
      <rPr>
        <sz val="10"/>
        <rFont val="DejaVu Sans"/>
        <family val="2"/>
        <charset val="1"/>
      </rPr>
      <t xml:space="preserve">100% </t>
    </r>
    <r>
      <rPr>
        <sz val="10"/>
        <rFont val="DejaVu Sans"/>
        <family val="2"/>
      </rPr>
      <t xml:space="preserve">준수 표준</t>
    </r>
  </si>
  <si>
    <r>
      <rPr>
        <sz val="10"/>
        <rFont val="DejaVu Sans"/>
        <family val="2"/>
      </rPr>
      <t xml:space="preserve">로드맵 신뢰 → 마케팅</t>
    </r>
    <r>
      <rPr>
        <sz val="10"/>
        <rFont val="DejaVu Sans"/>
        <family val="2"/>
        <charset val="1"/>
      </rPr>
      <t xml:space="preserve">·MD </t>
    </r>
    <r>
      <rPr>
        <sz val="10"/>
        <rFont val="DejaVu Sans"/>
        <family val="2"/>
      </rPr>
      <t xml:space="preserve">연계 일정 정합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캠페인 손실 방지</t>
    </r>
    <r>
      <rPr>
        <sz val="10"/>
        <rFont val="DejaVu Sans"/>
        <family val="2"/>
        <charset val="1"/>
      </rPr>
      <t xml:space="preserve">.</t>
    </r>
  </si>
  <si>
    <t xml:space="preserve">기획 품질 내부 기준</t>
  </si>
  <si>
    <r>
      <rPr>
        <sz val="10"/>
        <rFont val="DejaVu Sans"/>
        <family val="2"/>
      </rPr>
      <t xml:space="preserve">재작업 비용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리드타임 손실 감소 → 협업 효율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산출물 신뢰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</si>
  <si>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서비스 안정성 표준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목표 </t>
    </r>
    <r>
      <rPr>
        <sz val="10"/>
        <rFont val="DejaVu Sans"/>
        <family val="2"/>
        <charset val="1"/>
      </rPr>
      <t xml:space="preserve">0)</t>
    </r>
  </si>
  <si>
    <r>
      <rPr>
        <sz val="10"/>
        <rFont val="DejaVu Sans"/>
        <family val="2"/>
      </rPr>
      <t xml:space="preserve">매출 손실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신뢰 훼손 방지 → 운영 리스크 최소화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</si>
  <si>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품질 내부 기준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목표 </t>
    </r>
    <r>
      <rPr>
        <sz val="10"/>
        <rFont val="DejaVu Sans"/>
        <family val="2"/>
        <charset val="1"/>
      </rPr>
      <t xml:space="preserve">0)</t>
    </r>
  </si>
  <si>
    <r>
      <rPr>
        <sz val="10"/>
        <rFont val="Arial"/>
        <family val="0"/>
        <charset val="1"/>
      </rPr>
      <t xml:space="preserve">CS </t>
    </r>
    <r>
      <rPr>
        <sz val="10"/>
        <rFont val="DejaVu Sans"/>
        <family val="2"/>
      </rPr>
      <t xml:space="preserve">부하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품질 비용 감소 → 운영 안정성 향상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</si>
  <si>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CS </t>
    </r>
    <r>
      <rPr>
        <b val="true"/>
        <sz val="10"/>
        <rFont val="DejaVu Sans"/>
        <family val="2"/>
      </rPr>
      <t xml:space="preserve">문의</t>
    </r>
  </si>
  <si>
    <r>
      <rPr>
        <sz val="10"/>
        <rFont val="DejaVu Sans"/>
        <family val="2"/>
      </rPr>
      <t xml:space="preserve">무신사 리뷰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고객목소리 운영 </t>
    </r>
    <r>
      <rPr>
        <sz val="10"/>
        <rFont val="DejaVu Sans"/>
        <family val="2"/>
        <charset val="1"/>
      </rPr>
      <t xml:space="preserve">[ref 04]</t>
    </r>
  </si>
  <si>
    <r>
      <rPr>
        <sz val="10"/>
        <rFont val="DejaVu Sans"/>
        <family val="2"/>
      </rPr>
      <t xml:space="preserve">불만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이탈 신호 조기 감지 → 선제 대응으로 이탈 방지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</si>
  <si>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CS </t>
    </r>
    <r>
      <rPr>
        <b val="true"/>
        <sz val="10"/>
        <rFont val="DejaVu Sans"/>
        <family val="2"/>
      </rPr>
      <t xml:space="preserve">반영률</t>
    </r>
  </si>
  <si>
    <r>
      <rPr>
        <sz val="10"/>
        <rFont val="DejaVu Sans"/>
        <family val="2"/>
      </rPr>
      <t xml:space="preserve">무신사 리뷰 반영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고객 목소리 운영 </t>
    </r>
    <r>
      <rPr>
        <sz val="10"/>
        <rFont val="DejaVu Sans"/>
        <family val="2"/>
        <charset val="1"/>
      </rPr>
      <t xml:space="preserve">[ref 04]</t>
    </r>
  </si>
  <si>
    <r>
      <rPr>
        <sz val="10"/>
        <rFont val="DejaVu Sans"/>
        <family val="2"/>
      </rPr>
      <t xml:space="preserve">고객 만족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재구매 유지 → 이탈 방지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브랜드 신뢰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</si>
  <si>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업계 프로덕트팀 </t>
    </r>
    <r>
      <rPr>
        <sz val="10"/>
        <rFont val="DejaVu Sans"/>
        <family val="2"/>
        <charset val="1"/>
      </rPr>
      <t xml:space="preserve">'3</t>
    </r>
    <r>
      <rPr>
        <sz val="10"/>
        <rFont val="DejaVu Sans"/>
        <family val="2"/>
      </rPr>
      <t xml:space="preserve">개월 내 </t>
    </r>
    <r>
      <rPr>
        <sz val="10"/>
        <rFont val="DejaVu Sans"/>
        <family val="2"/>
        <charset val="1"/>
      </rPr>
      <t xml:space="preserve">75% </t>
    </r>
    <r>
      <rPr>
        <sz val="10"/>
        <rFont val="DejaVu Sans"/>
        <family val="2"/>
      </rPr>
      <t xml:space="preserve">반영</t>
    </r>
    <r>
      <rPr>
        <sz val="10"/>
        <rFont val="DejaVu Sans"/>
        <family val="2"/>
        <charset val="1"/>
      </rPr>
      <t xml:space="preserve">' </t>
    </r>
    <r>
      <rPr>
        <sz val="10"/>
        <rFont val="DejaVu Sans"/>
        <family val="2"/>
      </rPr>
      <t xml:space="preserve">표준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주간 환산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</si>
  <si>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제품 개선 사이클 가속 → 고객 체감 가치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충성도 상승</t>
    </r>
    <r>
      <rPr>
        <sz val="10"/>
        <rFont val="DejaVu Sans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</si>
</sst>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0.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DejaVu Sans"/>
      <family val="2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name val="DejaVu Sans"/>
      <family val="2"/>
    </font>
    <font>
      <b val="true"/>
      <sz val="10"/>
      <color rgb="FF000000"/>
      <name val="DejaVu Sans"/>
      <family val="2"/>
      <charset val="1"/>
    </font>
    <font>
      <sz val="10"/>
      <color rgb="FF00000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DejaVu Sans"/>
      <family val="2"/>
      <charset val="1"/>
    </font>
    <font>
      <b val="true"/>
      <sz val="10"/>
      <color rgb="FFFFFFFF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DejaVu Sans"/>
      <family val="2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10"/>
      <name val="DejaVu Sans"/>
      <family val="2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DejaVu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15" min="3" style="1" width="9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Format="false" ht="15" hidden="false" customHeight="true" outlineLevel="0" collapsed="false">
      <c r="A3" s="5" t="s">
        <v>16</v>
      </c>
      <c r="B3" s="6" t="s">
        <v>17</v>
      </c>
      <c r="C3" s="7" t="n">
        <v>58000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15" hidden="false" customHeight="true" outlineLevel="0" collapsed="false">
      <c r="A4" s="8" t="s">
        <v>18</v>
      </c>
      <c r="B4" s="6" t="s">
        <v>19</v>
      </c>
      <c r="C4" s="7" t="n">
        <v>95000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15" hidden="false" customHeight="true" outlineLevel="0" collapsed="false">
      <c r="A5" s="8" t="s">
        <v>20</v>
      </c>
      <c r="B5" s="6" t="s">
        <v>21</v>
      </c>
      <c r="C5" s="7" t="n">
        <v>2400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" hidden="false" customHeight="true" outlineLevel="0" collapsed="false">
      <c r="A6" s="8" t="s">
        <v>22</v>
      </c>
      <c r="B6" s="6" t="s">
        <v>21</v>
      </c>
      <c r="C6" s="7" t="n">
        <v>950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true" outlineLevel="0" collapsed="false">
      <c r="A7" s="5" t="s">
        <v>23</v>
      </c>
      <c r="B7" s="6" t="s">
        <v>19</v>
      </c>
      <c r="C7" s="7" t="n">
        <v>380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true" outlineLevel="0" collapsed="false">
      <c r="A8" s="8" t="s">
        <v>24</v>
      </c>
      <c r="B8" s="6" t="s">
        <v>19</v>
      </c>
      <c r="C8" s="7" t="n">
        <v>2100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true" outlineLevel="0" collapsed="false">
      <c r="A9" s="8" t="s">
        <v>25</v>
      </c>
      <c r="B9" s="6" t="s">
        <v>19</v>
      </c>
      <c r="C9" s="7" t="n">
        <v>420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true" outlineLevel="0" collapsed="false">
      <c r="A10" s="8" t="s">
        <v>26</v>
      </c>
      <c r="B10" s="6" t="s">
        <v>19</v>
      </c>
      <c r="C10" s="7" t="n">
        <v>8500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true" outlineLevel="0" collapsed="false">
      <c r="A11" s="8" t="s">
        <v>27</v>
      </c>
      <c r="B11" s="6" t="s">
        <v>17</v>
      </c>
      <c r="C11" s="7" t="n">
        <v>37000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true" outlineLevel="0" collapsed="false">
      <c r="A12" s="8" t="s">
        <v>28</v>
      </c>
      <c r="B12" s="6" t="s">
        <v>19</v>
      </c>
      <c r="C12" s="7" t="n">
        <v>1300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true" outlineLevel="0" collapsed="false">
      <c r="A13" s="8" t="s">
        <v>29</v>
      </c>
      <c r="B13" s="6" t="s">
        <v>21</v>
      </c>
      <c r="C13" s="7" t="n">
        <v>300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16" min="4" style="1" width="9"/>
  </cols>
  <sheetData>
    <row r="1" customFormat="false" ht="17.25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4" t="s">
        <v>31</v>
      </c>
      <c r="B2" s="3" t="s">
        <v>2</v>
      </c>
      <c r="C2" s="3" t="s">
        <v>32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customFormat="false" ht="15" hidden="false" customHeight="true" outlineLevel="0" collapsed="false">
      <c r="A3" s="8" t="s">
        <v>33</v>
      </c>
      <c r="B3" s="6" t="s">
        <v>17</v>
      </c>
      <c r="C3" s="9" t="n">
        <v>60000</v>
      </c>
      <c r="D3" s="10" t="n">
        <f aca="false">주간입력!C3</f>
        <v>58000</v>
      </c>
      <c r="E3" s="10" t="n">
        <f aca="false">주간입력!D3</f>
        <v>0</v>
      </c>
      <c r="F3" s="10" t="n">
        <f aca="false">주간입력!E3</f>
        <v>0</v>
      </c>
      <c r="G3" s="10" t="n">
        <f aca="false">주간입력!F3</f>
        <v>0</v>
      </c>
      <c r="H3" s="10" t="n">
        <f aca="false">주간입력!G3</f>
        <v>0</v>
      </c>
      <c r="I3" s="10" t="n">
        <f aca="false">주간입력!H3</f>
        <v>0</v>
      </c>
      <c r="J3" s="10" t="n">
        <f aca="false">주간입력!I3</f>
        <v>0</v>
      </c>
      <c r="K3" s="10" t="n">
        <f aca="false">주간입력!J3</f>
        <v>0</v>
      </c>
      <c r="L3" s="10" t="n">
        <f aca="false">주간입력!K3</f>
        <v>0</v>
      </c>
      <c r="M3" s="10" t="n">
        <f aca="false">주간입력!L3</f>
        <v>0</v>
      </c>
      <c r="N3" s="10" t="n">
        <f aca="false">주간입력!M3</f>
        <v>0</v>
      </c>
      <c r="O3" s="10" t="n">
        <f aca="false">주간입력!N3</f>
        <v>0</v>
      </c>
      <c r="P3" s="10" t="n">
        <f aca="false">주간입력!O3</f>
        <v>0</v>
      </c>
    </row>
    <row r="4" customFormat="false" ht="15" hidden="false" customHeight="true" outlineLevel="0" collapsed="false">
      <c r="A4" s="8" t="s">
        <v>34</v>
      </c>
      <c r="B4" s="11" t="s">
        <v>35</v>
      </c>
      <c r="C4" s="12" t="n">
        <v>0.028</v>
      </c>
      <c r="D4" s="13" t="n">
        <f aca="false">IFERROR(주간입력!C5/주간입력!C4,0)</f>
        <v>0.0252631578947368</v>
      </c>
      <c r="E4" s="13" t="n">
        <f aca="false">IFERROR(주간입력!D5/주간입력!D4,0)</f>
        <v>0</v>
      </c>
      <c r="F4" s="13" t="n">
        <f aca="false">IFERROR(주간입력!E5/주간입력!E4,0)</f>
        <v>0</v>
      </c>
      <c r="G4" s="13" t="n">
        <f aca="false">IFERROR(주간입력!F5/주간입력!F4,0)</f>
        <v>0</v>
      </c>
      <c r="H4" s="13" t="n">
        <f aca="false">IFERROR(주간입력!G5/주간입력!G4,0)</f>
        <v>0</v>
      </c>
      <c r="I4" s="13" t="n">
        <f aca="false">IFERROR(주간입력!H5/주간입력!H4,0)</f>
        <v>0</v>
      </c>
      <c r="J4" s="13" t="n">
        <f aca="false">IFERROR(주간입력!I5/주간입력!I4,0)</f>
        <v>0</v>
      </c>
      <c r="K4" s="13" t="n">
        <f aca="false">IFERROR(주간입력!J5/주간입력!J4,0)</f>
        <v>0</v>
      </c>
      <c r="L4" s="13" t="n">
        <f aca="false">IFERROR(주간입력!K5/주간입력!K4,0)</f>
        <v>0</v>
      </c>
      <c r="M4" s="13" t="n">
        <f aca="false">IFERROR(주간입력!L5/주간입력!L4,0)</f>
        <v>0</v>
      </c>
      <c r="N4" s="13" t="n">
        <f aca="false">IFERROR(주간입력!M5/주간입력!M4,0)</f>
        <v>0</v>
      </c>
      <c r="O4" s="13" t="n">
        <f aca="false">IFERROR(주간입력!N5/주간입력!N4,0)</f>
        <v>0</v>
      </c>
      <c r="P4" s="13" t="n">
        <f aca="false">IFERROR(주간입력!O5/주간입력!O4,0)</f>
        <v>0</v>
      </c>
    </row>
    <row r="5" customFormat="false" ht="15" hidden="false" customHeight="true" outlineLevel="0" collapsed="false">
      <c r="A5" s="8" t="s">
        <v>36</v>
      </c>
      <c r="B5" s="6" t="s">
        <v>17</v>
      </c>
      <c r="C5" s="9" t="n">
        <v>46</v>
      </c>
      <c r="D5" s="10" t="n">
        <f aca="false">IFERROR(주간입력!C3/주간입력!C5,0)</f>
        <v>24.1666666666667</v>
      </c>
      <c r="E5" s="10" t="n">
        <f aca="false">IFERROR(주간입력!D3/주간입력!D5,0)</f>
        <v>0</v>
      </c>
      <c r="F5" s="10" t="n">
        <f aca="false">IFERROR(주간입력!E3/주간입력!E5,0)</f>
        <v>0</v>
      </c>
      <c r="G5" s="10" t="n">
        <f aca="false">IFERROR(주간입력!F3/주간입력!F5,0)</f>
        <v>0</v>
      </c>
      <c r="H5" s="10" t="n">
        <f aca="false">IFERROR(주간입력!G3/주간입력!G5,0)</f>
        <v>0</v>
      </c>
      <c r="I5" s="10" t="n">
        <f aca="false">IFERROR(주간입력!H3/주간입력!H5,0)</f>
        <v>0</v>
      </c>
      <c r="J5" s="10" t="n">
        <f aca="false">IFERROR(주간입력!I3/주간입력!I5,0)</f>
        <v>0</v>
      </c>
      <c r="K5" s="10" t="n">
        <f aca="false">IFERROR(주간입력!J3/주간입력!J5,0)</f>
        <v>0</v>
      </c>
      <c r="L5" s="10" t="n">
        <f aca="false">IFERROR(주간입력!K3/주간입력!K5,0)</f>
        <v>0</v>
      </c>
      <c r="M5" s="10" t="n">
        <f aca="false">IFERROR(주간입력!L3/주간입력!L5,0)</f>
        <v>0</v>
      </c>
      <c r="N5" s="10" t="n">
        <f aca="false">IFERROR(주간입력!M3/주간입력!M5,0)</f>
        <v>0</v>
      </c>
      <c r="O5" s="10" t="n">
        <f aca="false">IFERROR(주간입력!N3/주간입력!N5,0)</f>
        <v>0</v>
      </c>
      <c r="P5" s="10" t="n">
        <f aca="false">IFERROR(주간입력!O3/주간입력!O5,0)</f>
        <v>0</v>
      </c>
    </row>
    <row r="6" customFormat="false" ht="15" hidden="false" customHeight="true" outlineLevel="0" collapsed="false">
      <c r="A6" s="8" t="s">
        <v>37</v>
      </c>
      <c r="B6" s="11" t="s">
        <v>35</v>
      </c>
      <c r="C6" s="12" t="n">
        <v>0.4</v>
      </c>
      <c r="D6" s="13" t="n">
        <f aca="false">IFERROR(주간입력!C6/주간입력!C5,0)</f>
        <v>0.395833333333333</v>
      </c>
      <c r="E6" s="13" t="n">
        <f aca="false">IFERROR(주간입력!D6/주간입력!D5,0)</f>
        <v>0</v>
      </c>
      <c r="F6" s="13" t="n">
        <f aca="false">IFERROR(주간입력!E6/주간입력!E5,0)</f>
        <v>0</v>
      </c>
      <c r="G6" s="13" t="n">
        <f aca="false">IFERROR(주간입력!F6/주간입력!F5,0)</f>
        <v>0</v>
      </c>
      <c r="H6" s="13" t="n">
        <f aca="false">IFERROR(주간입력!G6/주간입력!G5,0)</f>
        <v>0</v>
      </c>
      <c r="I6" s="13" t="n">
        <f aca="false">IFERROR(주간입력!H6/주간입력!H5,0)</f>
        <v>0</v>
      </c>
      <c r="J6" s="13" t="n">
        <f aca="false">IFERROR(주간입력!I6/주간입력!I5,0)</f>
        <v>0</v>
      </c>
      <c r="K6" s="13" t="n">
        <f aca="false">IFERROR(주간입력!J6/주간입력!J5,0)</f>
        <v>0</v>
      </c>
      <c r="L6" s="13" t="n">
        <f aca="false">IFERROR(주간입력!K6/주간입력!K5,0)</f>
        <v>0</v>
      </c>
      <c r="M6" s="13" t="n">
        <f aca="false">IFERROR(주간입력!L6/주간입력!L5,0)</f>
        <v>0</v>
      </c>
      <c r="N6" s="13" t="n">
        <f aca="false">IFERROR(주간입력!M6/주간입력!M5,0)</f>
        <v>0</v>
      </c>
      <c r="O6" s="13" t="n">
        <f aca="false">IFERROR(주간입력!N6/주간입력!N5,0)</f>
        <v>0</v>
      </c>
      <c r="P6" s="13" t="n">
        <f aca="false">IFERROR(주간입력!O6/주간입력!O5,0)</f>
        <v>0</v>
      </c>
    </row>
    <row r="7" customFormat="false" ht="15" hidden="false" customHeight="true" outlineLevel="0" collapsed="false">
      <c r="A7" s="8" t="s">
        <v>38</v>
      </c>
      <c r="B7" s="11" t="s">
        <v>35</v>
      </c>
      <c r="C7" s="12" t="n">
        <v>0.17</v>
      </c>
      <c r="D7" s="13" t="n">
        <f aca="false">IFERROR(주간입력!C7/주간입력!C8,0)</f>
        <v>0.180952380952381</v>
      </c>
      <c r="E7" s="13" t="n">
        <f aca="false">IFERROR(주간입력!D7/주간입력!D8,0)</f>
        <v>0</v>
      </c>
      <c r="F7" s="13" t="n">
        <f aca="false">IFERROR(주간입력!E7/주간입력!E8,0)</f>
        <v>0</v>
      </c>
      <c r="G7" s="13" t="n">
        <f aca="false">IFERROR(주간입력!F7/주간입력!F8,0)</f>
        <v>0</v>
      </c>
      <c r="H7" s="13" t="n">
        <f aca="false">IFERROR(주간입력!G7/주간입력!G8,0)</f>
        <v>0</v>
      </c>
      <c r="I7" s="13" t="n">
        <f aca="false">IFERROR(주간입력!H7/주간입력!H8,0)</f>
        <v>0</v>
      </c>
      <c r="J7" s="13" t="n">
        <f aca="false">IFERROR(주간입력!I7/주간입력!I8,0)</f>
        <v>0</v>
      </c>
      <c r="K7" s="13" t="n">
        <f aca="false">IFERROR(주간입력!J7/주간입력!J8,0)</f>
        <v>0</v>
      </c>
      <c r="L7" s="13" t="n">
        <f aca="false">IFERROR(주간입력!K7/주간입력!K8,0)</f>
        <v>0</v>
      </c>
      <c r="M7" s="13" t="n">
        <f aca="false">IFERROR(주간입력!L7/주간입력!L8,0)</f>
        <v>0</v>
      </c>
      <c r="N7" s="13" t="n">
        <f aca="false">IFERROR(주간입력!M7/주간입력!M8,0)</f>
        <v>0</v>
      </c>
      <c r="O7" s="13" t="n">
        <f aca="false">IFERROR(주간입력!N7/주간입력!N8,0)</f>
        <v>0</v>
      </c>
      <c r="P7" s="13" t="n">
        <f aca="false">IFERROR(주간입력!O7/주간입력!O8,0)</f>
        <v>0</v>
      </c>
    </row>
    <row r="8" customFormat="false" ht="15" hidden="false" customHeight="true" outlineLevel="0" collapsed="false">
      <c r="A8" s="8" t="s">
        <v>39</v>
      </c>
      <c r="B8" s="6" t="s">
        <v>19</v>
      </c>
      <c r="C8" s="9" t="n">
        <v>400</v>
      </c>
      <c r="D8" s="10" t="n">
        <f aca="false">주간입력!C9</f>
        <v>420</v>
      </c>
      <c r="E8" s="10" t="n">
        <f aca="false">주간입력!D9</f>
        <v>0</v>
      </c>
      <c r="F8" s="10" t="n">
        <f aca="false">주간입력!E9</f>
        <v>0</v>
      </c>
      <c r="G8" s="10" t="n">
        <f aca="false">주간입력!F9</f>
        <v>0</v>
      </c>
      <c r="H8" s="10" t="n">
        <f aca="false">주간입력!G9</f>
        <v>0</v>
      </c>
      <c r="I8" s="10" t="n">
        <f aca="false">주간입력!H9</f>
        <v>0</v>
      </c>
      <c r="J8" s="10" t="n">
        <f aca="false">주간입력!I9</f>
        <v>0</v>
      </c>
      <c r="K8" s="10" t="n">
        <f aca="false">주간입력!J9</f>
        <v>0</v>
      </c>
      <c r="L8" s="10" t="n">
        <f aca="false">주간입력!K9</f>
        <v>0</v>
      </c>
      <c r="M8" s="10" t="n">
        <f aca="false">주간입력!L9</f>
        <v>0</v>
      </c>
      <c r="N8" s="10" t="n">
        <f aca="false">주간입력!M9</f>
        <v>0</v>
      </c>
      <c r="O8" s="10" t="n">
        <f aca="false">주간입력!N9</f>
        <v>0</v>
      </c>
      <c r="P8" s="10" t="n">
        <f aca="false">주간입력!O9</f>
        <v>0</v>
      </c>
    </row>
    <row r="9" customFormat="false" ht="15" hidden="false" customHeight="true" outlineLevel="0" collapsed="false">
      <c r="A9" s="8" t="s">
        <v>40</v>
      </c>
      <c r="B9" s="11" t="s">
        <v>35</v>
      </c>
      <c r="C9" s="12" t="n">
        <v>0.65</v>
      </c>
      <c r="D9" s="13" t="n">
        <f aca="false">IFERROR(주간입력!C11/주간입력!C3,0)</f>
        <v>0.637931034482759</v>
      </c>
      <c r="E9" s="13" t="n">
        <f aca="false">IFERROR(주간입력!D11/주간입력!D3,0)</f>
        <v>0</v>
      </c>
      <c r="F9" s="13" t="n">
        <f aca="false">IFERROR(주간입력!E11/주간입력!E3,0)</f>
        <v>0</v>
      </c>
      <c r="G9" s="13" t="n">
        <f aca="false">IFERROR(주간입력!F11/주간입력!F3,0)</f>
        <v>0</v>
      </c>
      <c r="H9" s="13" t="n">
        <f aca="false">IFERROR(주간입력!G11/주간입력!G3,0)</f>
        <v>0</v>
      </c>
      <c r="I9" s="13" t="n">
        <f aca="false">IFERROR(주간입력!H11/주간입력!H3,0)</f>
        <v>0</v>
      </c>
      <c r="J9" s="13" t="n">
        <f aca="false">IFERROR(주간입력!I11/주간입력!I3,0)</f>
        <v>0</v>
      </c>
      <c r="K9" s="13" t="n">
        <f aca="false">IFERROR(주간입력!J11/주간입력!J3,0)</f>
        <v>0</v>
      </c>
      <c r="L9" s="13" t="n">
        <f aca="false">IFERROR(주간입력!K11/주간입력!K3,0)</f>
        <v>0</v>
      </c>
      <c r="M9" s="13" t="n">
        <f aca="false">IFERROR(주간입력!L11/주간입력!L3,0)</f>
        <v>0</v>
      </c>
      <c r="N9" s="13" t="n">
        <f aca="false">IFERROR(주간입력!M11/주간입력!M3,0)</f>
        <v>0</v>
      </c>
      <c r="O9" s="13" t="n">
        <f aca="false">IFERROR(주간입력!N11/주간입력!N3,0)</f>
        <v>0</v>
      </c>
      <c r="P9" s="13" t="n">
        <f aca="false">IFERROR(주간입력!O11/주간입력!O3,0)</f>
        <v>0</v>
      </c>
    </row>
    <row r="10" customFormat="false" ht="15" hidden="false" customHeight="true" outlineLevel="0" collapsed="false">
      <c r="A10" s="8" t="s">
        <v>41</v>
      </c>
      <c r="B10" s="11" t="s">
        <v>35</v>
      </c>
      <c r="C10" s="12" t="n">
        <v>0.25</v>
      </c>
      <c r="D10" s="13" t="n">
        <f aca="false">IFERROR(주간입력!C13/주간입력!C12,0)</f>
        <v>0.230769230769231</v>
      </c>
      <c r="E10" s="13" t="n">
        <f aca="false">IFERROR(주간입력!D13/주간입력!D12,0)</f>
        <v>0</v>
      </c>
      <c r="F10" s="13" t="n">
        <f aca="false">IFERROR(주간입력!E13/주간입력!E12,0)</f>
        <v>0</v>
      </c>
      <c r="G10" s="13" t="n">
        <f aca="false">IFERROR(주간입력!F13/주간입력!F12,0)</f>
        <v>0</v>
      </c>
      <c r="H10" s="13" t="n">
        <f aca="false">IFERROR(주간입력!G13/주간입력!G12,0)</f>
        <v>0</v>
      </c>
      <c r="I10" s="13" t="n">
        <f aca="false">IFERROR(주간입력!H13/주간입력!H12,0)</f>
        <v>0</v>
      </c>
      <c r="J10" s="13" t="n">
        <f aca="false">IFERROR(주간입력!I13/주간입력!I12,0)</f>
        <v>0</v>
      </c>
      <c r="K10" s="13" t="n">
        <f aca="false">IFERROR(주간입력!J13/주간입력!J12,0)</f>
        <v>0</v>
      </c>
      <c r="L10" s="13" t="n">
        <f aca="false">IFERROR(주간입력!K13/주간입력!K12,0)</f>
        <v>0</v>
      </c>
      <c r="M10" s="13" t="n">
        <f aca="false">IFERROR(주간입력!L13/주간입력!L12,0)</f>
        <v>0</v>
      </c>
      <c r="N10" s="13" t="n">
        <f aca="false">IFERROR(주간입력!M13/주간입력!M12,0)</f>
        <v>0</v>
      </c>
      <c r="O10" s="13" t="n">
        <f aca="false">IFERROR(주간입력!N13/주간입력!N12,0)</f>
        <v>0</v>
      </c>
      <c r="P10" s="13" t="n">
        <f aca="false">IFERROR(주간입력!O13/주간입력!O12,0)</f>
        <v>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2"/>
    <col collapsed="false" customWidth="true" hidden="false" outlineLevel="0" max="5" min="4" style="1" width="14"/>
  </cols>
  <sheetData>
    <row r="1" customFormat="false" ht="17.25" hidden="false" customHeight="true" outlineLevel="0" collapsed="false">
      <c r="A1" s="2" t="s">
        <v>42</v>
      </c>
      <c r="B1" s="2"/>
      <c r="C1" s="2"/>
      <c r="D1" s="2"/>
      <c r="E1" s="2"/>
    </row>
    <row r="2" customFormat="false" ht="15" hidden="false" customHeight="true" outlineLevel="0" collapsed="false">
      <c r="A2" s="14" t="s">
        <v>43</v>
      </c>
      <c r="B2" s="14"/>
      <c r="C2" s="15" t="n">
        <v>1</v>
      </c>
    </row>
    <row r="4" customFormat="false" ht="15" hidden="false" customHeight="true" outlineLevel="0" collapsed="false">
      <c r="A4" s="4" t="s">
        <v>31</v>
      </c>
      <c r="B4" s="3" t="s">
        <v>32</v>
      </c>
      <c r="C4" s="3" t="s">
        <v>44</v>
      </c>
      <c r="D4" s="3" t="s">
        <v>45</v>
      </c>
      <c r="E4" s="3" t="s">
        <v>46</v>
      </c>
    </row>
    <row r="5" customFormat="false" ht="15" hidden="false" customHeight="true" outlineLevel="0" collapsed="false">
      <c r="A5" s="8" t="s">
        <v>33</v>
      </c>
      <c r="B5" s="10" t="n">
        <f aca="false">KPI계산!$C3</f>
        <v>60000</v>
      </c>
      <c r="C5" s="10" t="n">
        <f aca="false">IFERROR(INDEX(KPI계산!$D3:$P3,$C$2),0)</f>
        <v>58000</v>
      </c>
      <c r="D5" s="13" t="n">
        <f aca="false">IFERROR(C5/B5,0)</f>
        <v>0.966666666666667</v>
      </c>
      <c r="E5" s="13" t="str">
        <f aca="false">IF($C$2&lt;=1,"-",IFERROR(C5/INDEX(KPI계산!$D3:$P3,$C$2-1)-1,"-"))</f>
        <v>-</v>
      </c>
    </row>
    <row r="6" customFormat="false" ht="15" hidden="false" customHeight="true" outlineLevel="0" collapsed="false">
      <c r="A6" s="8" t="s">
        <v>34</v>
      </c>
      <c r="B6" s="13" t="n">
        <f aca="false">KPI계산!$C4</f>
        <v>0.028</v>
      </c>
      <c r="C6" s="13" t="n">
        <f aca="false">IFERROR(INDEX(KPI계산!$D4:$P4,$C$2),0)</f>
        <v>0.0252631578947368</v>
      </c>
      <c r="D6" s="13" t="n">
        <f aca="false">IFERROR(C6/B6,0)</f>
        <v>0.902255639097744</v>
      </c>
      <c r="E6" s="13" t="str">
        <f aca="false">IF($C$2&lt;=1,"-",IFERROR(C6/INDEX(KPI계산!$D4:$P4,$C$2-1)-1,"-"))</f>
        <v>-</v>
      </c>
    </row>
    <row r="7" customFormat="false" ht="15" hidden="false" customHeight="true" outlineLevel="0" collapsed="false">
      <c r="A7" s="8" t="s">
        <v>36</v>
      </c>
      <c r="B7" s="10" t="n">
        <f aca="false">KPI계산!$C5</f>
        <v>46</v>
      </c>
      <c r="C7" s="10" t="n">
        <f aca="false">IFERROR(INDEX(KPI계산!$D5:$P5,$C$2),0)</f>
        <v>24.1666666666667</v>
      </c>
      <c r="D7" s="13" t="n">
        <f aca="false">IFERROR(C7/B7,0)</f>
        <v>0.52536231884058</v>
      </c>
      <c r="E7" s="13" t="str">
        <f aca="false">IF($C$2&lt;=1,"-",IFERROR(C7/INDEX(KPI계산!$D5:$P5,$C$2-1)-1,"-"))</f>
        <v>-</v>
      </c>
    </row>
    <row r="8" customFormat="false" ht="15" hidden="false" customHeight="true" outlineLevel="0" collapsed="false">
      <c r="A8" s="8" t="s">
        <v>37</v>
      </c>
      <c r="B8" s="13" t="n">
        <f aca="false">KPI계산!$C6</f>
        <v>0.4</v>
      </c>
      <c r="C8" s="13" t="n">
        <f aca="false">IFERROR(INDEX(KPI계산!$D6:$P6,$C$2),0)</f>
        <v>0.395833333333333</v>
      </c>
      <c r="D8" s="13" t="n">
        <f aca="false">IFERROR(C8/B8,0)</f>
        <v>0.989583333333333</v>
      </c>
      <c r="E8" s="13" t="str">
        <f aca="false">IF($C$2&lt;=1,"-",IFERROR(C8/INDEX(KPI계산!$D6:$P6,$C$2-1)-1,"-"))</f>
        <v>-</v>
      </c>
    </row>
    <row r="9" customFormat="false" ht="15" hidden="false" customHeight="true" outlineLevel="0" collapsed="false">
      <c r="A9" s="8" t="s">
        <v>38</v>
      </c>
      <c r="B9" s="13" t="n">
        <f aca="false">KPI계산!$C7</f>
        <v>0.17</v>
      </c>
      <c r="C9" s="13" t="n">
        <f aca="false">IFERROR(INDEX(KPI계산!$D7:$P7,$C$2),0)</f>
        <v>0.180952380952381</v>
      </c>
      <c r="D9" s="13" t="n">
        <f aca="false">IFERROR(C9/B9,0)</f>
        <v>1.06442577030812</v>
      </c>
      <c r="E9" s="13" t="str">
        <f aca="false">IF($C$2&lt;=1,"-",IFERROR(C9/INDEX(KPI계산!$D7:$P7,$C$2-1)-1,"-"))</f>
        <v>-</v>
      </c>
    </row>
    <row r="10" customFormat="false" ht="15" hidden="false" customHeight="true" outlineLevel="0" collapsed="false">
      <c r="A10" s="8" t="s">
        <v>39</v>
      </c>
      <c r="B10" s="10" t="n">
        <f aca="false">KPI계산!$C8</f>
        <v>400</v>
      </c>
      <c r="C10" s="10" t="n">
        <f aca="false">IFERROR(INDEX(KPI계산!$D8:$P8,$C$2),0)</f>
        <v>420</v>
      </c>
      <c r="D10" s="13" t="n">
        <f aca="false">IFERROR(C10/B10,0)</f>
        <v>1.05</v>
      </c>
      <c r="E10" s="13" t="str">
        <f aca="false">IF($C$2&lt;=1,"-",IFERROR(C10/INDEX(KPI계산!$D8:$P8,$C$2-1)-1,"-"))</f>
        <v>-</v>
      </c>
    </row>
    <row r="11" customFormat="false" ht="15" hidden="false" customHeight="true" outlineLevel="0" collapsed="false">
      <c r="A11" s="8" t="s">
        <v>40</v>
      </c>
      <c r="B11" s="13" t="n">
        <f aca="false">KPI계산!$C9</f>
        <v>0.65</v>
      </c>
      <c r="C11" s="13" t="n">
        <f aca="false">IFERROR(INDEX(KPI계산!$D9:$P9,$C$2),0)</f>
        <v>0.637931034482759</v>
      </c>
      <c r="D11" s="13" t="n">
        <f aca="false">IFERROR(C11/B11,0)</f>
        <v>0.981432360742706</v>
      </c>
      <c r="E11" s="13" t="str">
        <f aca="false">IF($C$2&lt;=1,"-",IFERROR(C11/INDEX(KPI계산!$D9:$P9,$C$2-1)-1,"-"))</f>
        <v>-</v>
      </c>
    </row>
    <row r="12" customFormat="false" ht="15" hidden="false" customHeight="true" outlineLevel="0" collapsed="false">
      <c r="A12" s="8" t="s">
        <v>41</v>
      </c>
      <c r="B12" s="13" t="n">
        <f aca="false">KPI계산!$C10</f>
        <v>0.25</v>
      </c>
      <c r="C12" s="13" t="n">
        <f aca="false">IFERROR(INDEX(KPI계산!$D10:$P10,$C$2),0)</f>
        <v>0.230769230769231</v>
      </c>
      <c r="D12" s="13" t="n">
        <f aca="false">IFERROR(C12/B12,0)</f>
        <v>0.923076923076923</v>
      </c>
      <c r="E12" s="13" t="str">
        <f aca="false">IF($C$2&lt;=1,"-",IFERROR(C12/INDEX(KPI계산!$D10:$P10,$C$2-1)-1,"-"))</f>
        <v>-</v>
      </c>
    </row>
  </sheetData>
  <mergeCells count="2">
    <mergeCell ref="A1:E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14" min="2" style="1" width="9"/>
  </cols>
  <sheetData>
    <row r="1" customFormat="false" ht="17.25" hidden="false" customHeight="true" outlineLevel="0" collapsed="false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48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customFormat="false" ht="15" hidden="false" customHeight="true" outlineLevel="0" collapsed="false">
      <c r="A3" s="5" t="s">
        <v>49</v>
      </c>
      <c r="B3" s="7" t="n">
        <v>18000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5" hidden="false" customHeight="true" outlineLevel="0" collapsed="false">
      <c r="A4" s="5" t="s">
        <v>50</v>
      </c>
      <c r="B4" s="7" t="n">
        <v>14000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true" outlineLevel="0" collapsed="false">
      <c r="A5" s="5" t="s">
        <v>51</v>
      </c>
      <c r="B5" s="7" t="n">
        <v>11000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true" outlineLevel="0" collapsed="false">
      <c r="A6" s="5" t="s">
        <v>52</v>
      </c>
      <c r="B6" s="7" t="n">
        <v>9000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5" hidden="false" customHeight="true" outlineLevel="0" collapsed="false">
      <c r="A7" s="5" t="s">
        <v>53</v>
      </c>
      <c r="B7" s="7" t="n">
        <v>6000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customFormat="false" ht="15" hidden="false" customHeight="true" outlineLevel="0" collapsed="false">
      <c r="A8" s="16" t="s">
        <v>54</v>
      </c>
      <c r="B8" s="17" t="n">
        <f aca="false">SUM(B3:B7)</f>
        <v>58000</v>
      </c>
      <c r="C8" s="17" t="n">
        <f aca="false">SUM(C3:C7)</f>
        <v>0</v>
      </c>
      <c r="D8" s="17" t="n">
        <f aca="false">SUM(D3:D7)</f>
        <v>0</v>
      </c>
      <c r="E8" s="17" t="n">
        <f aca="false">SUM(E3:E7)</f>
        <v>0</v>
      </c>
      <c r="F8" s="17" t="n">
        <f aca="false">SUM(F3:F7)</f>
        <v>0</v>
      </c>
      <c r="G8" s="17" t="n">
        <f aca="false">SUM(G3:G7)</f>
        <v>0</v>
      </c>
      <c r="H8" s="17" t="n">
        <f aca="false">SUM(H3:H7)</f>
        <v>0</v>
      </c>
      <c r="I8" s="17" t="n">
        <f aca="false">SUM(I3:I7)</f>
        <v>0</v>
      </c>
      <c r="J8" s="17" t="n">
        <f aca="false">SUM(J3:J7)</f>
        <v>0</v>
      </c>
      <c r="K8" s="17" t="n">
        <f aca="false">SUM(K3:K7)</f>
        <v>0</v>
      </c>
      <c r="L8" s="17" t="n">
        <f aca="false">SUM(L3:L7)</f>
        <v>0</v>
      </c>
      <c r="M8" s="17" t="n">
        <f aca="false">SUM(M3:M7)</f>
        <v>0</v>
      </c>
      <c r="N8" s="17" t="n">
        <f aca="false">SUM(N3:N7)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15" min="3" style="1" width="9"/>
  </cols>
  <sheetData>
    <row r="1" customFormat="false" ht="17.2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Format="false" ht="15" hidden="false" customHeight="true" outlineLevel="0" collapsed="false">
      <c r="A3" s="8" t="s">
        <v>56</v>
      </c>
      <c r="B3" s="6" t="s">
        <v>21</v>
      </c>
      <c r="C3" s="7" t="n">
        <v>45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15" hidden="false" customHeight="true" outlineLevel="0" collapsed="false">
      <c r="A4" s="5" t="s">
        <v>57</v>
      </c>
      <c r="B4" s="6" t="s">
        <v>21</v>
      </c>
      <c r="C4" s="7" t="n">
        <v>42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15" hidden="false" customHeight="true" outlineLevel="0" collapsed="false">
      <c r="A5" s="8" t="s">
        <v>58</v>
      </c>
      <c r="B5" s="6" t="s">
        <v>59</v>
      </c>
      <c r="C5" s="7" t="n">
        <v>85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" hidden="false" customHeight="true" outlineLevel="0" collapsed="false">
      <c r="A6" s="8" t="s">
        <v>60</v>
      </c>
      <c r="B6" s="6" t="s">
        <v>21</v>
      </c>
      <c r="C6" s="7" t="n">
        <v>12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true" outlineLevel="0" collapsed="false">
      <c r="A7" s="8" t="s">
        <v>61</v>
      </c>
      <c r="B7" s="6" t="s">
        <v>21</v>
      </c>
      <c r="C7" s="7" t="n">
        <v>11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true" outlineLevel="0" collapsed="false">
      <c r="A8" s="8" t="s">
        <v>62</v>
      </c>
      <c r="B8" s="6" t="s">
        <v>21</v>
      </c>
      <c r="C8" s="7" t="n">
        <v>20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true" outlineLevel="0" collapsed="false">
      <c r="A9" s="8" t="s">
        <v>63</v>
      </c>
      <c r="B9" s="6" t="s">
        <v>21</v>
      </c>
      <c r="C9" s="7" t="n">
        <v>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true" outlineLevel="0" collapsed="false">
      <c r="A10" s="8" t="s">
        <v>64</v>
      </c>
      <c r="B10" s="6" t="s">
        <v>21</v>
      </c>
      <c r="C10" s="7" t="n"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true" outlineLevel="0" collapsed="false">
      <c r="A11" s="8" t="s">
        <v>65</v>
      </c>
      <c r="B11" s="6" t="s">
        <v>21</v>
      </c>
      <c r="C11" s="7" t="n">
        <v>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true" outlineLevel="0" collapsed="false">
      <c r="A12" s="5" t="s">
        <v>66</v>
      </c>
      <c r="B12" s="6" t="s">
        <v>21</v>
      </c>
      <c r="C12" s="7" t="n">
        <v>95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true" outlineLevel="0" collapsed="false">
      <c r="A13" s="5" t="s">
        <v>67</v>
      </c>
      <c r="B13" s="6" t="s">
        <v>21</v>
      </c>
      <c r="C13" s="7" t="n">
        <v>88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" hidden="false" customHeight="true" outlineLevel="0" collapsed="false">
      <c r="A14" s="5" t="s">
        <v>68</v>
      </c>
      <c r="B14" s="6" t="s">
        <v>21</v>
      </c>
      <c r="C14" s="7" t="n">
        <v>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true" outlineLevel="0" collapsed="false">
      <c r="A15" s="5" t="s">
        <v>69</v>
      </c>
      <c r="B15" s="6" t="s">
        <v>21</v>
      </c>
      <c r="C15" s="7" t="n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" hidden="false" customHeight="true" outlineLevel="0" collapsed="false">
      <c r="A16" s="8" t="s">
        <v>70</v>
      </c>
      <c r="B16" s="6" t="s">
        <v>21</v>
      </c>
      <c r="C16" s="7" t="n">
        <v>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true" outlineLevel="0" collapsed="false">
      <c r="A17" s="8" t="s">
        <v>71</v>
      </c>
      <c r="B17" s="6" t="s">
        <v>21</v>
      </c>
      <c r="C17" s="7" t="n"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customFormat="false" ht="15" hidden="false" customHeight="true" outlineLevel="0" collapsed="false">
      <c r="A18" s="8" t="s">
        <v>72</v>
      </c>
      <c r="B18" s="6" t="s">
        <v>21</v>
      </c>
      <c r="C18" s="7" t="n">
        <v>40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customFormat="false" ht="15" hidden="false" customHeight="true" outlineLevel="0" collapsed="false">
      <c r="A19" s="8" t="s">
        <v>73</v>
      </c>
      <c r="B19" s="6" t="s">
        <v>21</v>
      </c>
      <c r="C19" s="7" t="n">
        <v>31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"/>
    <col collapsed="false" customWidth="true" hidden="false" outlineLevel="0" max="4" min="3" style="1" width="9"/>
    <col collapsed="false" customWidth="true" hidden="false" outlineLevel="0" max="17" min="5" style="1" width="8"/>
  </cols>
  <sheetData>
    <row r="1" customFormat="false" ht="17.2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4" t="s">
        <v>31</v>
      </c>
      <c r="B2" s="3" t="s">
        <v>2</v>
      </c>
      <c r="C2" s="3" t="s">
        <v>32</v>
      </c>
      <c r="D2" s="3" t="s">
        <v>75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customFormat="false" ht="15" hidden="false" customHeight="true" outlineLevel="0" collapsed="false">
      <c r="A3" s="5" t="s">
        <v>76</v>
      </c>
      <c r="B3" s="11" t="s">
        <v>35</v>
      </c>
      <c r="C3" s="12" t="n">
        <v>0.9</v>
      </c>
      <c r="D3" s="11" t="s">
        <v>77</v>
      </c>
      <c r="E3" s="13" t="n">
        <f aca="false">IFERROR(운영입력!C4/운영입력!C3,0)</f>
        <v>0.933333333333333</v>
      </c>
      <c r="F3" s="13" t="n">
        <f aca="false">IFERROR(운영입력!D4/운영입력!D3,0)</f>
        <v>0</v>
      </c>
      <c r="G3" s="13" t="n">
        <f aca="false">IFERROR(운영입력!E4/운영입력!E3,0)</f>
        <v>0</v>
      </c>
      <c r="H3" s="13" t="n">
        <f aca="false">IFERROR(운영입력!F4/운영입력!F3,0)</f>
        <v>0</v>
      </c>
      <c r="I3" s="13" t="n">
        <f aca="false">IFERROR(운영입력!G4/운영입력!G3,0)</f>
        <v>0</v>
      </c>
      <c r="J3" s="13" t="n">
        <f aca="false">IFERROR(운영입력!H4/운영입력!H3,0)</f>
        <v>0</v>
      </c>
      <c r="K3" s="13" t="n">
        <f aca="false">IFERROR(운영입력!I4/운영입력!I3,0)</f>
        <v>0</v>
      </c>
      <c r="L3" s="13" t="n">
        <f aca="false">IFERROR(운영입력!J4/운영입력!J3,0)</f>
        <v>0</v>
      </c>
      <c r="M3" s="13" t="n">
        <f aca="false">IFERROR(운영입력!K4/운영입력!K3,0)</f>
        <v>0</v>
      </c>
      <c r="N3" s="13" t="n">
        <f aca="false">IFERROR(운영입력!L4/운영입력!L3,0)</f>
        <v>0</v>
      </c>
      <c r="O3" s="13" t="n">
        <f aca="false">IFERROR(운영입력!M4/운영입력!M3,0)</f>
        <v>0</v>
      </c>
      <c r="P3" s="13" t="n">
        <f aca="false">IFERROR(운영입력!N4/운영입력!N3,0)</f>
        <v>0</v>
      </c>
      <c r="Q3" s="13" t="n">
        <f aca="false">IFERROR(운영입력!O4/운영입력!O3,0)</f>
        <v>0</v>
      </c>
    </row>
    <row r="4" customFormat="false" ht="15" hidden="false" customHeight="true" outlineLevel="0" collapsed="false">
      <c r="A4" s="8" t="s">
        <v>78</v>
      </c>
      <c r="B4" s="6" t="s">
        <v>59</v>
      </c>
      <c r="C4" s="18" t="n">
        <v>2</v>
      </c>
      <c r="D4" s="11" t="s">
        <v>79</v>
      </c>
      <c r="E4" s="19" t="n">
        <f aca="false">IFERROR(운영입력!C5/운영입력!C3,0)</f>
        <v>1.88888888888889</v>
      </c>
      <c r="F4" s="19" t="n">
        <f aca="false">IFERROR(운영입력!D5/운영입력!D3,0)</f>
        <v>0</v>
      </c>
      <c r="G4" s="19" t="n">
        <f aca="false">IFERROR(운영입력!E5/운영입력!E3,0)</f>
        <v>0</v>
      </c>
      <c r="H4" s="19" t="n">
        <f aca="false">IFERROR(운영입력!F5/운영입력!F3,0)</f>
        <v>0</v>
      </c>
      <c r="I4" s="19" t="n">
        <f aca="false">IFERROR(운영입력!G5/운영입력!G3,0)</f>
        <v>0</v>
      </c>
      <c r="J4" s="19" t="n">
        <f aca="false">IFERROR(운영입력!H5/운영입력!H3,0)</f>
        <v>0</v>
      </c>
      <c r="K4" s="19" t="n">
        <f aca="false">IFERROR(운영입력!I5/운영입력!I3,0)</f>
        <v>0</v>
      </c>
      <c r="L4" s="19" t="n">
        <f aca="false">IFERROR(운영입력!J5/운영입력!J3,0)</f>
        <v>0</v>
      </c>
      <c r="M4" s="19" t="n">
        <f aca="false">IFERROR(운영입력!K5/운영입력!K3,0)</f>
        <v>0</v>
      </c>
      <c r="N4" s="19" t="n">
        <f aca="false">IFERROR(운영입력!L5/운영입력!L3,0)</f>
        <v>0</v>
      </c>
      <c r="O4" s="19" t="n">
        <f aca="false">IFERROR(운영입력!M5/운영입력!M3,0)</f>
        <v>0</v>
      </c>
      <c r="P4" s="19" t="n">
        <f aca="false">IFERROR(운영입력!N5/운영입력!N3,0)</f>
        <v>0</v>
      </c>
      <c r="Q4" s="19" t="n">
        <f aca="false">IFERROR(운영입력!O5/운영입력!O3,0)</f>
        <v>0</v>
      </c>
    </row>
    <row r="5" customFormat="false" ht="15" hidden="false" customHeight="true" outlineLevel="0" collapsed="false">
      <c r="A5" s="8" t="s">
        <v>80</v>
      </c>
      <c r="B5" s="11" t="s">
        <v>35</v>
      </c>
      <c r="C5" s="12" t="n">
        <v>0.95</v>
      </c>
      <c r="D5" s="11" t="s">
        <v>77</v>
      </c>
      <c r="E5" s="13" t="n">
        <f aca="false">IFERROR(운영입력!C7/운영입력!C6,0)</f>
        <v>0.916666666666667</v>
      </c>
      <c r="F5" s="13" t="n">
        <f aca="false">IFERROR(운영입력!D7/운영입력!D6,0)</f>
        <v>0</v>
      </c>
      <c r="G5" s="13" t="n">
        <f aca="false">IFERROR(운영입력!E7/운영입력!E6,0)</f>
        <v>0</v>
      </c>
      <c r="H5" s="13" t="n">
        <f aca="false">IFERROR(운영입력!F7/운영입력!F6,0)</f>
        <v>0</v>
      </c>
      <c r="I5" s="13" t="n">
        <f aca="false">IFERROR(운영입력!G7/운영입력!G6,0)</f>
        <v>0</v>
      </c>
      <c r="J5" s="13" t="n">
        <f aca="false">IFERROR(운영입력!H7/운영입력!H6,0)</f>
        <v>0</v>
      </c>
      <c r="K5" s="13" t="n">
        <f aca="false">IFERROR(운영입력!I7/운영입력!I6,0)</f>
        <v>0</v>
      </c>
      <c r="L5" s="13" t="n">
        <f aca="false">IFERROR(운영입력!J7/운영입력!J6,0)</f>
        <v>0</v>
      </c>
      <c r="M5" s="13" t="n">
        <f aca="false">IFERROR(운영입력!K7/운영입력!K6,0)</f>
        <v>0</v>
      </c>
      <c r="N5" s="13" t="n">
        <f aca="false">IFERROR(운영입력!L7/운영입력!L6,0)</f>
        <v>0</v>
      </c>
      <c r="O5" s="13" t="n">
        <f aca="false">IFERROR(운영입력!M7/운영입력!M6,0)</f>
        <v>0</v>
      </c>
      <c r="P5" s="13" t="n">
        <f aca="false">IFERROR(운영입력!N7/운영입력!N6,0)</f>
        <v>0</v>
      </c>
      <c r="Q5" s="13" t="n">
        <f aca="false">IFERROR(운영입력!O7/운영입력!O6,0)</f>
        <v>0</v>
      </c>
    </row>
    <row r="6" customFormat="false" ht="15" hidden="false" customHeight="true" outlineLevel="0" collapsed="false">
      <c r="A6" s="8" t="s">
        <v>81</v>
      </c>
      <c r="B6" s="11" t="s">
        <v>35</v>
      </c>
      <c r="C6" s="12" t="n">
        <v>0.15</v>
      </c>
      <c r="D6" s="11" t="s">
        <v>79</v>
      </c>
      <c r="E6" s="13" t="n">
        <f aca="false">IFERROR(운영입력!C9/운영입력!C8,0)</f>
        <v>0.15</v>
      </c>
      <c r="F6" s="13" t="n">
        <f aca="false">IFERROR(운영입력!D9/운영입력!D8,0)</f>
        <v>0</v>
      </c>
      <c r="G6" s="13" t="n">
        <f aca="false">IFERROR(운영입력!E9/운영입력!E8,0)</f>
        <v>0</v>
      </c>
      <c r="H6" s="13" t="n">
        <f aca="false">IFERROR(운영입력!F9/운영입력!F8,0)</f>
        <v>0</v>
      </c>
      <c r="I6" s="13" t="n">
        <f aca="false">IFERROR(운영입력!G9/운영입력!G8,0)</f>
        <v>0</v>
      </c>
      <c r="J6" s="13" t="n">
        <f aca="false">IFERROR(운영입력!H9/운영입력!H8,0)</f>
        <v>0</v>
      </c>
      <c r="K6" s="13" t="n">
        <f aca="false">IFERROR(운영입력!I9/운영입력!I8,0)</f>
        <v>0</v>
      </c>
      <c r="L6" s="13" t="n">
        <f aca="false">IFERROR(운영입력!J9/운영입력!J8,0)</f>
        <v>0</v>
      </c>
      <c r="M6" s="13" t="n">
        <f aca="false">IFERROR(운영입력!K9/운영입력!K8,0)</f>
        <v>0</v>
      </c>
      <c r="N6" s="13" t="n">
        <f aca="false">IFERROR(운영입력!L9/운영입력!L8,0)</f>
        <v>0</v>
      </c>
      <c r="O6" s="13" t="n">
        <f aca="false">IFERROR(운영입력!M9/운영입력!M8,0)</f>
        <v>0</v>
      </c>
      <c r="P6" s="13" t="n">
        <f aca="false">IFERROR(운영입력!N9/운영입력!N8,0)</f>
        <v>0</v>
      </c>
      <c r="Q6" s="13" t="n">
        <f aca="false">IFERROR(운영입력!O9/운영입력!O8,0)</f>
        <v>0</v>
      </c>
    </row>
    <row r="7" customFormat="false" ht="15" hidden="false" customHeight="true" outlineLevel="0" collapsed="false">
      <c r="A7" s="8" t="s">
        <v>82</v>
      </c>
      <c r="B7" s="6" t="s">
        <v>21</v>
      </c>
      <c r="C7" s="9" t="n">
        <v>0</v>
      </c>
      <c r="D7" s="11" t="s">
        <v>79</v>
      </c>
      <c r="E7" s="10" t="n">
        <f aca="false">운영입력!C10</f>
        <v>0</v>
      </c>
      <c r="F7" s="10" t="n">
        <f aca="false">운영입력!D10</f>
        <v>0</v>
      </c>
      <c r="G7" s="10" t="n">
        <f aca="false">운영입력!E10</f>
        <v>0</v>
      </c>
      <c r="H7" s="10" t="n">
        <f aca="false">운영입력!F10</f>
        <v>0</v>
      </c>
      <c r="I7" s="10" t="n">
        <f aca="false">운영입력!G10</f>
        <v>0</v>
      </c>
      <c r="J7" s="10" t="n">
        <f aca="false">운영입력!H10</f>
        <v>0</v>
      </c>
      <c r="K7" s="10" t="n">
        <f aca="false">운영입력!I10</f>
        <v>0</v>
      </c>
      <c r="L7" s="10" t="n">
        <f aca="false">운영입력!J10</f>
        <v>0</v>
      </c>
      <c r="M7" s="10" t="n">
        <f aca="false">운영입력!K10</f>
        <v>0</v>
      </c>
      <c r="N7" s="10" t="n">
        <f aca="false">운영입력!L10</f>
        <v>0</v>
      </c>
      <c r="O7" s="10" t="n">
        <f aca="false">운영입력!M10</f>
        <v>0</v>
      </c>
      <c r="P7" s="10" t="n">
        <f aca="false">운영입력!N10</f>
        <v>0</v>
      </c>
      <c r="Q7" s="10" t="n">
        <f aca="false">운영입력!O10</f>
        <v>0</v>
      </c>
    </row>
    <row r="8" customFormat="false" ht="15" hidden="false" customHeight="true" outlineLevel="0" collapsed="false">
      <c r="A8" s="8" t="s">
        <v>83</v>
      </c>
      <c r="B8" s="6" t="s">
        <v>21</v>
      </c>
      <c r="C8" s="9" t="n">
        <v>0</v>
      </c>
      <c r="D8" s="11" t="s">
        <v>79</v>
      </c>
      <c r="E8" s="10" t="n">
        <f aca="false">운영입력!C11</f>
        <v>2</v>
      </c>
      <c r="F8" s="10" t="n">
        <f aca="false">운영입력!D11</f>
        <v>0</v>
      </c>
      <c r="G8" s="10" t="n">
        <f aca="false">운영입력!E11</f>
        <v>0</v>
      </c>
      <c r="H8" s="10" t="n">
        <f aca="false">운영입력!F11</f>
        <v>0</v>
      </c>
      <c r="I8" s="10" t="n">
        <f aca="false">운영입력!G11</f>
        <v>0</v>
      </c>
      <c r="J8" s="10" t="n">
        <f aca="false">운영입력!H11</f>
        <v>0</v>
      </c>
      <c r="K8" s="10" t="n">
        <f aca="false">운영입력!I11</f>
        <v>0</v>
      </c>
      <c r="L8" s="10" t="n">
        <f aca="false">운영입력!J11</f>
        <v>0</v>
      </c>
      <c r="M8" s="10" t="n">
        <f aca="false">운영입력!K11</f>
        <v>0</v>
      </c>
      <c r="N8" s="10" t="n">
        <f aca="false">운영입력!L11</f>
        <v>0</v>
      </c>
      <c r="O8" s="10" t="n">
        <f aca="false">운영입력!M11</f>
        <v>0</v>
      </c>
      <c r="P8" s="10" t="n">
        <f aca="false">운영입력!N11</f>
        <v>0</v>
      </c>
      <c r="Q8" s="10" t="n">
        <f aca="false">운영입력!O11</f>
        <v>0</v>
      </c>
    </row>
    <row r="9" customFormat="false" ht="15" hidden="false" customHeight="true" outlineLevel="0" collapsed="false">
      <c r="A9" s="5" t="s">
        <v>66</v>
      </c>
      <c r="B9" s="6" t="s">
        <v>21</v>
      </c>
      <c r="C9" s="9" t="n">
        <v>100</v>
      </c>
      <c r="D9" s="11" t="s">
        <v>79</v>
      </c>
      <c r="E9" s="10" t="n">
        <f aca="false">운영입력!C12</f>
        <v>95</v>
      </c>
      <c r="F9" s="10" t="n">
        <f aca="false">운영입력!D12</f>
        <v>0</v>
      </c>
      <c r="G9" s="10" t="n">
        <f aca="false">운영입력!E12</f>
        <v>0</v>
      </c>
      <c r="H9" s="10" t="n">
        <f aca="false">운영입력!F12</f>
        <v>0</v>
      </c>
      <c r="I9" s="10" t="n">
        <f aca="false">운영입력!G12</f>
        <v>0</v>
      </c>
      <c r="J9" s="10" t="n">
        <f aca="false">운영입력!H12</f>
        <v>0</v>
      </c>
      <c r="K9" s="10" t="n">
        <f aca="false">운영입력!I12</f>
        <v>0</v>
      </c>
      <c r="L9" s="10" t="n">
        <f aca="false">운영입력!J12</f>
        <v>0</v>
      </c>
      <c r="M9" s="10" t="n">
        <f aca="false">운영입력!K12</f>
        <v>0</v>
      </c>
      <c r="N9" s="10" t="n">
        <f aca="false">운영입력!L12</f>
        <v>0</v>
      </c>
      <c r="O9" s="10" t="n">
        <f aca="false">운영입력!M12</f>
        <v>0</v>
      </c>
      <c r="P9" s="10" t="n">
        <f aca="false">운영입력!N12</f>
        <v>0</v>
      </c>
      <c r="Q9" s="10" t="n">
        <f aca="false">운영입력!O12</f>
        <v>0</v>
      </c>
    </row>
    <row r="10" customFormat="false" ht="15" hidden="false" customHeight="true" outlineLevel="0" collapsed="false">
      <c r="A10" s="5" t="s">
        <v>84</v>
      </c>
      <c r="B10" s="11" t="s">
        <v>35</v>
      </c>
      <c r="C10" s="12" t="n">
        <v>0.9</v>
      </c>
      <c r="D10" s="11" t="s">
        <v>77</v>
      </c>
      <c r="E10" s="13" t="n">
        <f aca="false">IFERROR(운영입력!C13/운영입력!C12,0)</f>
        <v>0.926315789473684</v>
      </c>
      <c r="F10" s="13" t="n">
        <f aca="false">IFERROR(운영입력!D13/운영입력!D12,0)</f>
        <v>0</v>
      </c>
      <c r="G10" s="13" t="n">
        <f aca="false">IFERROR(운영입력!E13/운영입력!E12,0)</f>
        <v>0</v>
      </c>
      <c r="H10" s="13" t="n">
        <f aca="false">IFERROR(운영입력!F13/운영입력!F12,0)</f>
        <v>0</v>
      </c>
      <c r="I10" s="13" t="n">
        <f aca="false">IFERROR(운영입력!G13/운영입력!G12,0)</f>
        <v>0</v>
      </c>
      <c r="J10" s="13" t="n">
        <f aca="false">IFERROR(운영입력!H13/운영입력!H12,0)</f>
        <v>0</v>
      </c>
      <c r="K10" s="13" t="n">
        <f aca="false">IFERROR(운영입력!I13/운영입력!I12,0)</f>
        <v>0</v>
      </c>
      <c r="L10" s="13" t="n">
        <f aca="false">IFERROR(운영입력!J13/운영입력!J12,0)</f>
        <v>0</v>
      </c>
      <c r="M10" s="13" t="n">
        <f aca="false">IFERROR(운영입력!K13/운영입력!K12,0)</f>
        <v>0</v>
      </c>
      <c r="N10" s="13" t="n">
        <f aca="false">IFERROR(운영입력!L13/운영입력!L12,0)</f>
        <v>0</v>
      </c>
      <c r="O10" s="13" t="n">
        <f aca="false">IFERROR(운영입력!M13/운영입력!M12,0)</f>
        <v>0</v>
      </c>
      <c r="P10" s="13" t="n">
        <f aca="false">IFERROR(운영입력!N13/운영입력!N12,0)</f>
        <v>0</v>
      </c>
      <c r="Q10" s="13" t="n">
        <f aca="false">IFERROR(운영입력!O13/운영입력!O12,0)</f>
        <v>0</v>
      </c>
    </row>
    <row r="11" customFormat="false" ht="15" hidden="false" customHeight="true" outlineLevel="0" collapsed="false">
      <c r="A11" s="5" t="s">
        <v>85</v>
      </c>
      <c r="B11" s="11" t="s">
        <v>35</v>
      </c>
      <c r="C11" s="12" t="n">
        <v>0.5</v>
      </c>
      <c r="D11" s="11" t="s">
        <v>77</v>
      </c>
      <c r="E11" s="13" t="n">
        <f aca="false">IFERROR(운영입력!C15/운영입력!C14,0)</f>
        <v>0.5</v>
      </c>
      <c r="F11" s="13" t="n">
        <f aca="false">IFERROR(운영입력!D15/운영입력!D14,0)</f>
        <v>0</v>
      </c>
      <c r="G11" s="13" t="n">
        <f aca="false">IFERROR(운영입력!E15/운영입력!E14,0)</f>
        <v>0</v>
      </c>
      <c r="H11" s="13" t="n">
        <f aca="false">IFERROR(운영입력!F15/운영입력!F14,0)</f>
        <v>0</v>
      </c>
      <c r="I11" s="13" t="n">
        <f aca="false">IFERROR(운영입력!G15/운영입력!G14,0)</f>
        <v>0</v>
      </c>
      <c r="J11" s="13" t="n">
        <f aca="false">IFERROR(운영입력!H15/운영입력!H14,0)</f>
        <v>0</v>
      </c>
      <c r="K11" s="13" t="n">
        <f aca="false">IFERROR(운영입력!I15/운영입력!I14,0)</f>
        <v>0</v>
      </c>
      <c r="L11" s="13" t="n">
        <f aca="false">IFERROR(운영입력!J15/운영입력!J14,0)</f>
        <v>0</v>
      </c>
      <c r="M11" s="13" t="n">
        <f aca="false">IFERROR(운영입력!K15/운영입력!K14,0)</f>
        <v>0</v>
      </c>
      <c r="N11" s="13" t="n">
        <f aca="false">IFERROR(운영입력!L15/운영입력!L14,0)</f>
        <v>0</v>
      </c>
      <c r="O11" s="13" t="n">
        <f aca="false">IFERROR(운영입력!M15/운영입력!M14,0)</f>
        <v>0</v>
      </c>
      <c r="P11" s="13" t="n">
        <f aca="false">IFERROR(운영입력!N15/운영입력!N14,0)</f>
        <v>0</v>
      </c>
      <c r="Q11" s="13" t="n">
        <f aca="false">IFERROR(운영입력!O15/운영입력!O14,0)</f>
        <v>0</v>
      </c>
    </row>
    <row r="12" customFormat="false" ht="15" hidden="false" customHeight="true" outlineLevel="0" collapsed="false">
      <c r="A12" s="8" t="s">
        <v>86</v>
      </c>
      <c r="B12" s="11" t="s">
        <v>35</v>
      </c>
      <c r="C12" s="12" t="n">
        <v>0.8</v>
      </c>
      <c r="D12" s="11" t="s">
        <v>77</v>
      </c>
      <c r="E12" s="13" t="n">
        <f aca="false">IFERROR(운영입력!C17/운영입력!C16,0)</f>
        <v>0.8</v>
      </c>
      <c r="F12" s="13" t="n">
        <f aca="false">IFERROR(운영입력!D17/운영입력!D16,0)</f>
        <v>0</v>
      </c>
      <c r="G12" s="13" t="n">
        <f aca="false">IFERROR(운영입력!E17/운영입력!E16,0)</f>
        <v>0</v>
      </c>
      <c r="H12" s="13" t="n">
        <f aca="false">IFERROR(운영입력!F17/운영입력!F16,0)</f>
        <v>0</v>
      </c>
      <c r="I12" s="13" t="n">
        <f aca="false">IFERROR(운영입력!G17/운영입력!G16,0)</f>
        <v>0</v>
      </c>
      <c r="J12" s="13" t="n">
        <f aca="false">IFERROR(운영입력!H17/운영입력!H16,0)</f>
        <v>0</v>
      </c>
      <c r="K12" s="13" t="n">
        <f aca="false">IFERROR(운영입력!I17/운영입력!I16,0)</f>
        <v>0</v>
      </c>
      <c r="L12" s="13" t="n">
        <f aca="false">IFERROR(운영입력!J17/운영입력!J16,0)</f>
        <v>0</v>
      </c>
      <c r="M12" s="13" t="n">
        <f aca="false">IFERROR(운영입력!K17/운영입력!K16,0)</f>
        <v>0</v>
      </c>
      <c r="N12" s="13" t="n">
        <f aca="false">IFERROR(운영입력!L17/운영입력!L16,0)</f>
        <v>0</v>
      </c>
      <c r="O12" s="13" t="n">
        <f aca="false">IFERROR(운영입력!M17/운영입력!M16,0)</f>
        <v>0</v>
      </c>
      <c r="P12" s="13" t="n">
        <f aca="false">IFERROR(운영입력!N17/운영입력!N16,0)</f>
        <v>0</v>
      </c>
      <c r="Q12" s="13" t="n">
        <f aca="false">IFERROR(운영입력!O17/운영입력!O16,0)</f>
        <v>0</v>
      </c>
    </row>
    <row r="13" customFormat="false" ht="15" hidden="false" customHeight="true" outlineLevel="0" collapsed="false">
      <c r="A13" s="8" t="s">
        <v>87</v>
      </c>
      <c r="B13" s="11" t="s">
        <v>35</v>
      </c>
      <c r="C13" s="12" t="n">
        <v>0.75</v>
      </c>
      <c r="D13" s="11" t="s">
        <v>77</v>
      </c>
      <c r="E13" s="13" t="n">
        <f aca="false">IFERROR(운영입력!C19/운영입력!C18,0)</f>
        <v>0.775</v>
      </c>
      <c r="F13" s="13" t="n">
        <f aca="false">IFERROR(운영입력!D19/운영입력!D18,0)</f>
        <v>0</v>
      </c>
      <c r="G13" s="13" t="n">
        <f aca="false">IFERROR(운영입력!E19/운영입력!E18,0)</f>
        <v>0</v>
      </c>
      <c r="H13" s="13" t="n">
        <f aca="false">IFERROR(운영입력!F19/운영입력!F18,0)</f>
        <v>0</v>
      </c>
      <c r="I13" s="13" t="n">
        <f aca="false">IFERROR(운영입력!G19/운영입력!G18,0)</f>
        <v>0</v>
      </c>
      <c r="J13" s="13" t="n">
        <f aca="false">IFERROR(운영입력!H19/운영입력!H18,0)</f>
        <v>0</v>
      </c>
      <c r="K13" s="13" t="n">
        <f aca="false">IFERROR(운영입력!I19/운영입력!I18,0)</f>
        <v>0</v>
      </c>
      <c r="L13" s="13" t="n">
        <f aca="false">IFERROR(운영입력!J19/운영입력!J18,0)</f>
        <v>0</v>
      </c>
      <c r="M13" s="13" t="n">
        <f aca="false">IFERROR(운영입력!K19/운영입력!K18,0)</f>
        <v>0</v>
      </c>
      <c r="N13" s="13" t="n">
        <f aca="false">IFERROR(운영입력!L19/운영입력!L18,0)</f>
        <v>0</v>
      </c>
      <c r="O13" s="13" t="n">
        <f aca="false">IFERROR(운영입력!M19/운영입력!M18,0)</f>
        <v>0</v>
      </c>
      <c r="P13" s="13" t="n">
        <f aca="false">IFERROR(운영입력!N19/운영입력!N18,0)</f>
        <v>0</v>
      </c>
      <c r="Q13" s="13" t="n">
        <f aca="false">IFERROR(운영입력!O19/운영입력!O18,0)</f>
        <v>0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88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4" t="s">
        <v>43</v>
      </c>
      <c r="B2" s="14"/>
      <c r="C2" s="15" t="n">
        <v>1</v>
      </c>
    </row>
    <row r="4" customFormat="false" ht="15" hidden="false" customHeight="true" outlineLevel="0" collapsed="false">
      <c r="A4" s="4" t="s">
        <v>31</v>
      </c>
      <c r="B4" s="3" t="s">
        <v>32</v>
      </c>
      <c r="C4" s="3" t="s">
        <v>89</v>
      </c>
      <c r="D4" s="3" t="s">
        <v>44</v>
      </c>
      <c r="E4" s="3" t="s">
        <v>90</v>
      </c>
      <c r="F4" s="3" t="s">
        <v>46</v>
      </c>
    </row>
    <row r="5" customFormat="false" ht="15" hidden="false" customHeight="true" outlineLevel="0" collapsed="false">
      <c r="A5" s="5" t="s">
        <v>76</v>
      </c>
      <c r="B5" s="13" t="n">
        <f aca="false">운영KPI!$C3</f>
        <v>0.9</v>
      </c>
      <c r="C5" s="20" t="str">
        <f aca="false">운영KPI!$D3</f>
        <v>↑</v>
      </c>
      <c r="D5" s="13" t="n">
        <f aca="false">IFERROR(INDEX(운영KPI!$E3:$Q3,$C$2),0)</f>
        <v>0.933333333333333</v>
      </c>
      <c r="E5" s="20" t="str">
        <f aca="false">IF(C5="↑",IF(D5&gt;=B5,"양호","미달"),IF(D5&lt;=B5,"양호","주의"))</f>
        <v>양호</v>
      </c>
      <c r="F5" s="13" t="str">
        <f aca="false">IF($C$2&lt;=1,"-",IFERROR(D5/INDEX(운영KPI!$E3:$Q3,$C$2-1)-1,"-"))</f>
        <v>-</v>
      </c>
    </row>
    <row r="6" customFormat="false" ht="15" hidden="false" customHeight="true" outlineLevel="0" collapsed="false">
      <c r="A6" s="8" t="s">
        <v>78</v>
      </c>
      <c r="B6" s="19" t="n">
        <f aca="false">운영KPI!$C4</f>
        <v>2</v>
      </c>
      <c r="C6" s="20" t="str">
        <f aca="false">운영KPI!$D4</f>
        <v>↓</v>
      </c>
      <c r="D6" s="19" t="n">
        <f aca="false">IFERROR(INDEX(운영KPI!$E4:$Q4,$C$2),0)</f>
        <v>1.88888888888889</v>
      </c>
      <c r="E6" s="20" t="str">
        <f aca="false">IF(C6="↑",IF(D6&gt;=B6,"양호","미달"),IF(D6&lt;=B6,"양호","주의"))</f>
        <v>양호</v>
      </c>
      <c r="F6" s="13" t="str">
        <f aca="false">IF($C$2&lt;=1,"-",IFERROR(D6/INDEX(운영KPI!$E4:$Q4,$C$2-1)-1,"-"))</f>
        <v>-</v>
      </c>
    </row>
    <row r="7" customFormat="false" ht="15" hidden="false" customHeight="true" outlineLevel="0" collapsed="false">
      <c r="A7" s="8" t="s">
        <v>80</v>
      </c>
      <c r="B7" s="13" t="n">
        <f aca="false">운영KPI!$C5</f>
        <v>0.95</v>
      </c>
      <c r="C7" s="20" t="str">
        <f aca="false">운영KPI!$D5</f>
        <v>↑</v>
      </c>
      <c r="D7" s="13" t="n">
        <f aca="false">IFERROR(INDEX(운영KPI!$E5:$Q5,$C$2),0)</f>
        <v>0.916666666666667</v>
      </c>
      <c r="E7" s="20" t="str">
        <f aca="false">IF(C7="↑",IF(D7&gt;=B7,"양호","미달"),IF(D7&lt;=B7,"양호","주의"))</f>
        <v>미달</v>
      </c>
      <c r="F7" s="13" t="str">
        <f aca="false">IF($C$2&lt;=1,"-",IFERROR(D7/INDEX(운영KPI!$E5:$Q5,$C$2-1)-1,"-"))</f>
        <v>-</v>
      </c>
    </row>
    <row r="8" customFormat="false" ht="15" hidden="false" customHeight="true" outlineLevel="0" collapsed="false">
      <c r="A8" s="8" t="s">
        <v>81</v>
      </c>
      <c r="B8" s="13" t="n">
        <f aca="false">운영KPI!$C6</f>
        <v>0.15</v>
      </c>
      <c r="C8" s="20" t="str">
        <f aca="false">운영KPI!$D6</f>
        <v>↓</v>
      </c>
      <c r="D8" s="13" t="n">
        <f aca="false">IFERROR(INDEX(운영KPI!$E6:$Q6,$C$2),0)</f>
        <v>0.15</v>
      </c>
      <c r="E8" s="20" t="str">
        <f aca="false">IF(C8="↑",IF(D8&gt;=B8,"양호","미달"),IF(D8&lt;=B8,"양호","주의"))</f>
        <v>양호</v>
      </c>
      <c r="F8" s="13" t="str">
        <f aca="false">IF($C$2&lt;=1,"-",IFERROR(D8/INDEX(운영KPI!$E6:$Q6,$C$2-1)-1,"-"))</f>
        <v>-</v>
      </c>
    </row>
    <row r="9" customFormat="false" ht="15" hidden="false" customHeight="true" outlineLevel="0" collapsed="false">
      <c r="A9" s="8" t="s">
        <v>82</v>
      </c>
      <c r="B9" s="10" t="n">
        <f aca="false">운영KPI!$C7</f>
        <v>0</v>
      </c>
      <c r="C9" s="20" t="str">
        <f aca="false">운영KPI!$D7</f>
        <v>↓</v>
      </c>
      <c r="D9" s="10" t="n">
        <f aca="false">IFERROR(INDEX(운영KPI!$E7:$Q7,$C$2),0)</f>
        <v>0</v>
      </c>
      <c r="E9" s="20" t="str">
        <f aca="false">IF(C9="↑",IF(D9&gt;=B9,"양호","미달"),IF(D9&lt;=B9,"양호","주의"))</f>
        <v>양호</v>
      </c>
      <c r="F9" s="13" t="str">
        <f aca="false">IF($C$2&lt;=1,"-",IFERROR(D9/INDEX(운영KPI!$E7:$Q7,$C$2-1)-1,"-"))</f>
        <v>-</v>
      </c>
    </row>
    <row r="10" customFormat="false" ht="15" hidden="false" customHeight="true" outlineLevel="0" collapsed="false">
      <c r="A10" s="8" t="s">
        <v>83</v>
      </c>
      <c r="B10" s="10" t="n">
        <f aca="false">운영KPI!$C8</f>
        <v>0</v>
      </c>
      <c r="C10" s="20" t="str">
        <f aca="false">운영KPI!$D8</f>
        <v>↓</v>
      </c>
      <c r="D10" s="10" t="n">
        <f aca="false">IFERROR(INDEX(운영KPI!$E8:$Q8,$C$2),0)</f>
        <v>2</v>
      </c>
      <c r="E10" s="20" t="str">
        <f aca="false">IF(C10="↑",IF(D10&gt;=B10,"양호","미달"),IF(D10&lt;=B10,"양호","주의"))</f>
        <v>주의</v>
      </c>
      <c r="F10" s="13" t="str">
        <f aca="false">IF($C$2&lt;=1,"-",IFERROR(D10/INDEX(운영KPI!$E8:$Q8,$C$2-1)-1,"-"))</f>
        <v>-</v>
      </c>
    </row>
    <row r="11" customFormat="false" ht="15" hidden="false" customHeight="true" outlineLevel="0" collapsed="false">
      <c r="A11" s="5" t="s">
        <v>66</v>
      </c>
      <c r="B11" s="10" t="n">
        <f aca="false">운영KPI!$C9</f>
        <v>100</v>
      </c>
      <c r="C11" s="20" t="str">
        <f aca="false">운영KPI!$D9</f>
        <v>↓</v>
      </c>
      <c r="D11" s="10" t="n">
        <f aca="false">IFERROR(INDEX(운영KPI!$E9:$Q9,$C$2),0)</f>
        <v>95</v>
      </c>
      <c r="E11" s="20" t="str">
        <f aca="false">IF(C11="↑",IF(D11&gt;=B11,"양호","미달"),IF(D11&lt;=B11,"양호","주의"))</f>
        <v>양호</v>
      </c>
      <c r="F11" s="13" t="str">
        <f aca="false">IF($C$2&lt;=1,"-",IFERROR(D11/INDEX(운영KPI!$E9:$Q9,$C$2-1)-1,"-"))</f>
        <v>-</v>
      </c>
    </row>
    <row r="12" customFormat="false" ht="15" hidden="false" customHeight="true" outlineLevel="0" collapsed="false">
      <c r="A12" s="5" t="s">
        <v>84</v>
      </c>
      <c r="B12" s="13" t="n">
        <f aca="false">운영KPI!$C10</f>
        <v>0.9</v>
      </c>
      <c r="C12" s="20" t="str">
        <f aca="false">운영KPI!$D10</f>
        <v>↑</v>
      </c>
      <c r="D12" s="13" t="n">
        <f aca="false">IFERROR(INDEX(운영KPI!$E10:$Q10,$C$2),0)</f>
        <v>0.926315789473684</v>
      </c>
      <c r="E12" s="20" t="str">
        <f aca="false">IF(C12="↑",IF(D12&gt;=B12,"양호","미달"),IF(D12&lt;=B12,"양호","주의"))</f>
        <v>양호</v>
      </c>
      <c r="F12" s="13" t="str">
        <f aca="false">IF($C$2&lt;=1,"-",IFERROR(D12/INDEX(운영KPI!$E10:$Q10,$C$2-1)-1,"-"))</f>
        <v>-</v>
      </c>
    </row>
    <row r="13" customFormat="false" ht="15" hidden="false" customHeight="true" outlineLevel="0" collapsed="false">
      <c r="A13" s="5" t="s">
        <v>85</v>
      </c>
      <c r="B13" s="13" t="n">
        <f aca="false">운영KPI!$C11</f>
        <v>0.5</v>
      </c>
      <c r="C13" s="20" t="str">
        <f aca="false">운영KPI!$D11</f>
        <v>↑</v>
      </c>
      <c r="D13" s="13" t="n">
        <f aca="false">IFERROR(INDEX(운영KPI!$E11:$Q11,$C$2),0)</f>
        <v>0.5</v>
      </c>
      <c r="E13" s="20" t="str">
        <f aca="false">IF(C13="↑",IF(D13&gt;=B13,"양호","미달"),IF(D13&lt;=B13,"양호","주의"))</f>
        <v>양호</v>
      </c>
      <c r="F13" s="13" t="str">
        <f aca="false">IF($C$2&lt;=1,"-",IFERROR(D13/INDEX(운영KPI!$E11:$Q11,$C$2-1)-1,"-"))</f>
        <v>-</v>
      </c>
    </row>
    <row r="14" customFormat="false" ht="15" hidden="false" customHeight="true" outlineLevel="0" collapsed="false">
      <c r="A14" s="8" t="s">
        <v>86</v>
      </c>
      <c r="B14" s="13" t="n">
        <f aca="false">운영KPI!$C12</f>
        <v>0.8</v>
      </c>
      <c r="C14" s="20" t="str">
        <f aca="false">운영KPI!$D12</f>
        <v>↑</v>
      </c>
      <c r="D14" s="13" t="n">
        <f aca="false">IFERROR(INDEX(운영KPI!$E12:$Q12,$C$2),0)</f>
        <v>0.8</v>
      </c>
      <c r="E14" s="20" t="str">
        <f aca="false">IF(C14="↑",IF(D14&gt;=B14,"양호","미달"),IF(D14&lt;=B14,"양호","주의"))</f>
        <v>양호</v>
      </c>
      <c r="F14" s="13" t="str">
        <f aca="false">IF($C$2&lt;=1,"-",IFERROR(D14/INDEX(운영KPI!$E12:$Q12,$C$2-1)-1,"-"))</f>
        <v>-</v>
      </c>
    </row>
    <row r="15" customFormat="false" ht="15" hidden="false" customHeight="true" outlineLevel="0" collapsed="false">
      <c r="A15" s="8" t="s">
        <v>87</v>
      </c>
      <c r="B15" s="13" t="n">
        <f aca="false">운영KPI!$C13</f>
        <v>0.75</v>
      </c>
      <c r="C15" s="20" t="str">
        <f aca="false">운영KPI!$D13</f>
        <v>↑</v>
      </c>
      <c r="D15" s="13" t="n">
        <f aca="false">IFERROR(INDEX(운영KPI!$E13:$Q13,$C$2),0)</f>
        <v>0.775</v>
      </c>
      <c r="E15" s="20" t="str">
        <f aca="false">IF(C15="↑",IF(D15&gt;=B15,"양호","미달"),IF(D15&lt;=B15,"양호","주의"))</f>
        <v>양호</v>
      </c>
      <c r="F15" s="13" t="str">
        <f aca="false">IF($C$2&lt;=1,"-",IFERROR(D15/INDEX(운영KPI!$E13:$Q13,$C$2-1)-1,"-"))</f>
        <v>-</v>
      </c>
    </row>
  </sheetData>
  <mergeCells count="2">
    <mergeCell ref="A1:F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80"/>
  </cols>
  <sheetData>
    <row r="1" customFormat="false" ht="15.75" hidden="false" customHeight="true" outlineLevel="0" collapsed="false">
      <c r="A1" s="21" t="s">
        <v>91</v>
      </c>
      <c r="B1" s="21"/>
      <c r="C1" s="21"/>
    </row>
    <row r="2" customFormat="false" ht="15" hidden="false" customHeight="true" outlineLevel="0" collapsed="false">
      <c r="A2" s="3" t="s">
        <v>92</v>
      </c>
      <c r="B2" s="3" t="s">
        <v>93</v>
      </c>
      <c r="C2" s="3" t="s">
        <v>94</v>
      </c>
    </row>
    <row r="3" customFormat="false" ht="45.75" hidden="false" customHeight="true" outlineLevel="0" collapsed="false">
      <c r="A3" s="22" t="s">
        <v>95</v>
      </c>
      <c r="B3" s="23" t="s">
        <v>96</v>
      </c>
      <c r="C3" s="24" t="s">
        <v>97</v>
      </c>
    </row>
    <row r="4" customFormat="false" ht="45.75" hidden="false" customHeight="true" outlineLevel="0" collapsed="false">
      <c r="A4" s="22" t="s">
        <v>98</v>
      </c>
      <c r="B4" s="23" t="s">
        <v>99</v>
      </c>
      <c r="C4" s="25" t="s">
        <v>100</v>
      </c>
    </row>
    <row r="5" customFormat="false" ht="45.75" hidden="false" customHeight="true" outlineLevel="0" collapsed="false">
      <c r="A5" s="22" t="s">
        <v>101</v>
      </c>
      <c r="B5" s="23" t="s">
        <v>102</v>
      </c>
      <c r="C5" s="24" t="s">
        <v>103</v>
      </c>
    </row>
    <row r="6" customFormat="false" ht="45.75" hidden="false" customHeight="true" outlineLevel="0" collapsed="false">
      <c r="A6" s="22" t="s">
        <v>104</v>
      </c>
      <c r="B6" s="24" t="s">
        <v>105</v>
      </c>
      <c r="C6" s="24" t="s">
        <v>106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" min="3" style="1" width="52"/>
  </cols>
  <sheetData>
    <row r="1" customFormat="false" ht="15.75" hidden="false" customHeight="true" outlineLevel="0" collapsed="false">
      <c r="A1" s="26" t="s">
        <v>107</v>
      </c>
      <c r="B1" s="26"/>
      <c r="C1" s="26"/>
      <c r="D1" s="26"/>
    </row>
    <row r="2" customFormat="false" ht="15" hidden="false" customHeight="true" outlineLevel="0" collapsed="false">
      <c r="A2" s="3" t="s">
        <v>92</v>
      </c>
      <c r="B2" s="4" t="s">
        <v>31</v>
      </c>
      <c r="C2" s="3" t="s">
        <v>108</v>
      </c>
      <c r="D2" s="4" t="s">
        <v>109</v>
      </c>
    </row>
    <row r="3" customFormat="false" ht="39.75" hidden="false" customHeight="true" outlineLevel="0" collapsed="false">
      <c r="A3" s="22" t="s">
        <v>110</v>
      </c>
      <c r="B3" s="22" t="s">
        <v>111</v>
      </c>
      <c r="C3" s="24" t="s">
        <v>112</v>
      </c>
      <c r="D3" s="24" t="s">
        <v>113</v>
      </c>
    </row>
    <row r="4" customFormat="false" ht="39.75" hidden="false" customHeight="true" outlineLevel="0" collapsed="false">
      <c r="A4" s="22" t="s">
        <v>110</v>
      </c>
      <c r="B4" s="22" t="s">
        <v>114</v>
      </c>
      <c r="C4" s="24" t="s">
        <v>115</v>
      </c>
      <c r="D4" s="24" t="s">
        <v>116</v>
      </c>
    </row>
    <row r="5" customFormat="false" ht="39.75" hidden="false" customHeight="true" outlineLevel="0" collapsed="false">
      <c r="A5" s="22" t="s">
        <v>110</v>
      </c>
      <c r="B5" s="22" t="s">
        <v>117</v>
      </c>
      <c r="C5" s="25" t="s">
        <v>118</v>
      </c>
      <c r="D5" s="24" t="s">
        <v>119</v>
      </c>
    </row>
    <row r="6" customFormat="false" ht="39.75" hidden="false" customHeight="true" outlineLevel="0" collapsed="false">
      <c r="A6" s="22" t="s">
        <v>110</v>
      </c>
      <c r="B6" s="22" t="s">
        <v>37</v>
      </c>
      <c r="C6" s="24" t="s">
        <v>120</v>
      </c>
      <c r="D6" s="24" t="s">
        <v>121</v>
      </c>
    </row>
    <row r="7" customFormat="false" ht="39.75" hidden="false" customHeight="true" outlineLevel="0" collapsed="false">
      <c r="A7" s="22" t="s">
        <v>110</v>
      </c>
      <c r="B7" s="22" t="s">
        <v>39</v>
      </c>
      <c r="C7" s="25" t="s">
        <v>122</v>
      </c>
      <c r="D7" s="24" t="s">
        <v>123</v>
      </c>
    </row>
    <row r="8" customFormat="false" ht="39.75" hidden="false" customHeight="true" outlineLevel="0" collapsed="false">
      <c r="A8" s="22" t="s">
        <v>124</v>
      </c>
      <c r="B8" s="22" t="s">
        <v>40</v>
      </c>
      <c r="C8" s="24" t="s">
        <v>125</v>
      </c>
      <c r="D8" s="24" t="s">
        <v>126</v>
      </c>
    </row>
    <row r="9" customFormat="false" ht="39.75" hidden="false" customHeight="true" outlineLevel="0" collapsed="false">
      <c r="A9" s="22" t="s">
        <v>124</v>
      </c>
      <c r="B9" s="22" t="s">
        <v>38</v>
      </c>
      <c r="C9" s="24" t="s">
        <v>127</v>
      </c>
      <c r="D9" s="24" t="s">
        <v>128</v>
      </c>
    </row>
    <row r="10" customFormat="false" ht="39.75" hidden="false" customHeight="true" outlineLevel="0" collapsed="false">
      <c r="A10" s="22" t="s">
        <v>124</v>
      </c>
      <c r="B10" s="22" t="s">
        <v>41</v>
      </c>
      <c r="C10" s="25" t="s">
        <v>129</v>
      </c>
      <c r="D10" s="24" t="s">
        <v>130</v>
      </c>
    </row>
    <row r="11" customFormat="false" ht="39.75" hidden="false" customHeight="true" outlineLevel="0" collapsed="false">
      <c r="A11" s="22" t="s">
        <v>124</v>
      </c>
      <c r="B11" s="23" t="s">
        <v>131</v>
      </c>
      <c r="C11" s="24" t="s">
        <v>132</v>
      </c>
      <c r="D11" s="24" t="s">
        <v>133</v>
      </c>
    </row>
    <row r="12" customFormat="false" ht="39.75" hidden="false" customHeight="true" outlineLevel="0" collapsed="false">
      <c r="A12" s="22" t="s">
        <v>124</v>
      </c>
      <c r="B12" s="22" t="s">
        <v>134</v>
      </c>
      <c r="C12" s="24" t="s">
        <v>135</v>
      </c>
      <c r="D12" s="24" t="s">
        <v>136</v>
      </c>
    </row>
    <row r="13" customFormat="false" ht="39.75" hidden="false" customHeight="true" outlineLevel="0" collapsed="false">
      <c r="A13" s="22" t="s">
        <v>98</v>
      </c>
      <c r="B13" s="23" t="s">
        <v>137</v>
      </c>
      <c r="C13" s="24" t="s">
        <v>138</v>
      </c>
      <c r="D13" s="24" t="s">
        <v>139</v>
      </c>
    </row>
    <row r="14" customFormat="false" ht="39.75" hidden="false" customHeight="true" outlineLevel="0" collapsed="false">
      <c r="A14" s="22" t="s">
        <v>98</v>
      </c>
      <c r="B14" s="22" t="s">
        <v>78</v>
      </c>
      <c r="C14" s="24" t="s">
        <v>140</v>
      </c>
      <c r="D14" s="24" t="s">
        <v>141</v>
      </c>
    </row>
    <row r="15" customFormat="false" ht="39.75" hidden="false" customHeight="true" outlineLevel="0" collapsed="false">
      <c r="A15" s="22" t="s">
        <v>98</v>
      </c>
      <c r="B15" s="22" t="s">
        <v>80</v>
      </c>
      <c r="C15" s="24" t="s">
        <v>142</v>
      </c>
      <c r="D15" s="24" t="s">
        <v>143</v>
      </c>
    </row>
    <row r="16" customFormat="false" ht="39.75" hidden="false" customHeight="true" outlineLevel="0" collapsed="false">
      <c r="A16" s="22" t="s">
        <v>98</v>
      </c>
      <c r="B16" s="22" t="s">
        <v>81</v>
      </c>
      <c r="C16" s="24" t="s">
        <v>144</v>
      </c>
      <c r="D16" s="24" t="s">
        <v>145</v>
      </c>
    </row>
    <row r="17" customFormat="false" ht="39.75" hidden="false" customHeight="true" outlineLevel="0" collapsed="false">
      <c r="A17" s="22" t="s">
        <v>98</v>
      </c>
      <c r="B17" s="22" t="s">
        <v>82</v>
      </c>
      <c r="C17" s="24" t="s">
        <v>146</v>
      </c>
      <c r="D17" s="24" t="s">
        <v>147</v>
      </c>
    </row>
    <row r="18" customFormat="false" ht="39.75" hidden="false" customHeight="true" outlineLevel="0" collapsed="false">
      <c r="A18" s="22" t="s">
        <v>98</v>
      </c>
      <c r="B18" s="22" t="s">
        <v>83</v>
      </c>
      <c r="C18" s="24" t="s">
        <v>148</v>
      </c>
      <c r="D18" s="25" t="s">
        <v>149</v>
      </c>
    </row>
    <row r="19" customFormat="false" ht="39.75" hidden="false" customHeight="true" outlineLevel="0" collapsed="false">
      <c r="A19" s="22" t="s">
        <v>98</v>
      </c>
      <c r="B19" s="23" t="s">
        <v>150</v>
      </c>
      <c r="C19" s="24" t="s">
        <v>151</v>
      </c>
      <c r="D19" s="24" t="s">
        <v>152</v>
      </c>
    </row>
    <row r="20" customFormat="false" ht="39.75" hidden="false" customHeight="true" outlineLevel="0" collapsed="false">
      <c r="A20" s="22" t="s">
        <v>98</v>
      </c>
      <c r="B20" s="23" t="s">
        <v>153</v>
      </c>
      <c r="C20" s="24" t="s">
        <v>154</v>
      </c>
      <c r="D20" s="24" t="s">
        <v>155</v>
      </c>
    </row>
    <row r="21" customFormat="false" ht="39.75" hidden="false" customHeight="true" outlineLevel="0" collapsed="false">
      <c r="A21" s="22" t="s">
        <v>98</v>
      </c>
      <c r="B21" s="22" t="s">
        <v>87</v>
      </c>
      <c r="C21" s="24" t="s">
        <v>156</v>
      </c>
      <c r="D21" s="24" t="s">
        <v>157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2026-05-31T23:36:56Z</dcterms:created>
  <dc:creator>openpyxl</dc:creator>
  <dc:description/>
  <dc:language>en-US</dc:language>
  <cp:lastModifiedBy/>
  <dcterms:modified xsi:type="dcterms:W3CDTF">2026-06-11T05:24:13Z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